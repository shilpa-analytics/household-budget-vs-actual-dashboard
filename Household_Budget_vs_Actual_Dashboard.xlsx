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6.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Shilpa\"/>
    </mc:Choice>
  </mc:AlternateContent>
  <xr:revisionPtr revIDLastSave="0" documentId="13_ncr:1_{F2151A3D-A610-4549-8F19-120AD789D9B9}" xr6:coauthVersionLast="47" xr6:coauthVersionMax="47" xr10:uidLastSave="{00000000-0000-0000-0000-000000000000}"/>
  <bookViews>
    <workbookView xWindow="-108" yWindow="-108" windowWidth="23256" windowHeight="13896" activeTab="4" xr2:uid="{379EE48C-B927-42A1-936D-E1D1C62DCF60}"/>
  </bookViews>
  <sheets>
    <sheet name="Category" sheetId="10" r:id="rId1"/>
    <sheet name="Budget" sheetId="13" r:id="rId2"/>
    <sheet name="Actual" sheetId="14" r:id="rId3"/>
    <sheet name="Analysis" sheetId="21" r:id="rId4"/>
    <sheet name="Household Expense Dashboard" sheetId="15" r:id="rId5"/>
  </sheets>
  <definedNames>
    <definedName name="Categories" localSheetId="1">Category_table[Category]</definedName>
    <definedName name="Categories" localSheetId="4">Category_table[Category]</definedName>
    <definedName name="Categories">Category_table[Category]</definedName>
    <definedName name="Expense_data">#REF!</definedName>
    <definedName name="ExternalData_1" localSheetId="2" hidden="1">Actual!$A$3:$I$328</definedName>
    <definedName name="ExternalData_1" localSheetId="1" hidden="1">Budget!$A$21:$D$201</definedName>
    <definedName name="_xlnm.Print_Area" localSheetId="4">'Household Expense Dashboard'!$A$1:$S$51</definedName>
    <definedName name="Slicer_Category1">#N/A</definedName>
    <definedName name="Slicer_Month">#N/A</definedName>
    <definedName name="Subcategories" localSheetId="1">Category_table[Sub Category]</definedName>
    <definedName name="Subcategories" localSheetId="4">Category_table[Sub Category]</definedName>
    <definedName name="Subcategories">Category_table[Sub Category]</definedName>
    <definedName name="Total_6_Months_Expense" localSheetId="4">'Household Expense Dashboard'!$A$5</definedName>
    <definedName name="Total_6_Months_Expense">#REF!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0" i="21" l="1" a="1"/>
  <c r="A160" i="21" s="1"/>
  <c r="A159" i="21" a="1"/>
  <c r="A159" i="21" s="1"/>
  <c r="A157" i="21" a="1"/>
  <c r="A157" i="21" s="1"/>
  <c r="A168" i="21"/>
  <c r="G329" i="14"/>
  <c r="I131" i="21"/>
  <c r="I132" i="21"/>
  <c r="I133" i="21"/>
  <c r="I134" i="21"/>
  <c r="I135" i="21"/>
  <c r="I136" i="21"/>
  <c r="I137" i="21"/>
  <c r="I138" i="21"/>
  <c r="I139" i="21"/>
  <c r="I140" i="21"/>
  <c r="I141" i="21"/>
  <c r="I130" i="21"/>
  <c r="H131" i="21"/>
  <c r="H132" i="21"/>
  <c r="H133" i="21"/>
  <c r="H134" i="21"/>
  <c r="H135" i="21"/>
  <c r="H136" i="21"/>
  <c r="H137" i="21"/>
  <c r="H138" i="21"/>
  <c r="H139" i="21"/>
  <c r="H140" i="21"/>
  <c r="H141" i="21"/>
  <c r="H130" i="21"/>
  <c r="A170" i="21"/>
  <c r="F152" i="21"/>
  <c r="D152" i="21"/>
  <c r="B152" i="21"/>
  <c r="A152" i="21"/>
  <c r="G110" i="21"/>
  <c r="F113" i="21"/>
  <c r="G78" i="21"/>
  <c r="F76" i="21"/>
  <c r="F50" i="21"/>
  <c r="G39" i="21"/>
  <c r="F29" i="21"/>
  <c r="F32" i="21"/>
  <c r="F31" i="21"/>
  <c r="F39" i="21"/>
  <c r="F56" i="21"/>
  <c r="F9" i="21"/>
  <c r="F115" i="21"/>
  <c r="G75" i="21"/>
  <c r="G35" i="21"/>
  <c r="F35" i="21"/>
  <c r="G109" i="21"/>
  <c r="F112" i="21"/>
  <c r="G82" i="21"/>
  <c r="F79" i="21"/>
  <c r="G36" i="21"/>
  <c r="F51" i="21"/>
  <c r="F12" i="21"/>
  <c r="G114" i="21"/>
  <c r="F16" i="21"/>
  <c r="F57" i="21"/>
  <c r="F116" i="21"/>
  <c r="G74" i="21"/>
  <c r="G31" i="21"/>
  <c r="G33" i="21"/>
  <c r="F114" i="21"/>
  <c r="F75" i="21"/>
  <c r="F17" i="21"/>
  <c r="F54" i="21"/>
  <c r="G120" i="21"/>
  <c r="G108" i="21"/>
  <c r="F111" i="21"/>
  <c r="G77" i="21"/>
  <c r="F78" i="21"/>
  <c r="F36" i="21"/>
  <c r="F18" i="21"/>
  <c r="G38" i="21"/>
  <c r="G119" i="21"/>
  <c r="G107" i="21"/>
  <c r="F110" i="21"/>
  <c r="G79" i="21"/>
  <c r="F80" i="21"/>
  <c r="F52" i="21"/>
  <c r="G34" i="21"/>
  <c r="F60" i="21"/>
  <c r="F59" i="21"/>
  <c r="G72" i="21"/>
  <c r="G29" i="21"/>
  <c r="F117" i="21"/>
  <c r="F73" i="21"/>
  <c r="F58" i="21"/>
  <c r="G113" i="21"/>
  <c r="F74" i="21"/>
  <c r="F33" i="21"/>
  <c r="F53" i="21"/>
  <c r="G40" i="21"/>
  <c r="G118" i="21"/>
  <c r="G106" i="21"/>
  <c r="F109" i="21"/>
  <c r="G80" i="21"/>
  <c r="F81" i="21"/>
  <c r="F55" i="21"/>
  <c r="F30" i="21"/>
  <c r="F8" i="21"/>
  <c r="F7" i="21"/>
  <c r="F119" i="21"/>
  <c r="F83" i="21"/>
  <c r="F61" i="21"/>
  <c r="F118" i="21"/>
  <c r="F72" i="21"/>
  <c r="F49" i="21"/>
  <c r="G73" i="21"/>
  <c r="F15" i="21"/>
  <c r="F13" i="21"/>
  <c r="F34" i="21"/>
  <c r="G112" i="21"/>
  <c r="F77" i="21"/>
  <c r="F37" i="21"/>
  <c r="G111" i="21"/>
  <c r="G76" i="21"/>
  <c r="F10" i="21"/>
  <c r="G117" i="21"/>
  <c r="F120" i="21"/>
  <c r="F108" i="21"/>
  <c r="G81" i="21"/>
  <c r="F82" i="21"/>
  <c r="F14" i="21"/>
  <c r="F19" i="21"/>
  <c r="F11" i="21"/>
  <c r="F40" i="21"/>
  <c r="G116" i="21"/>
  <c r="F107" i="21"/>
  <c r="G83" i="21"/>
  <c r="G30" i="21"/>
  <c r="F38" i="21"/>
  <c r="G115" i="21"/>
  <c r="F106" i="21"/>
  <c r="G37" i="21"/>
  <c r="G32" i="21"/>
  <c r="A161" i="21" l="1" a="1"/>
  <c r="A161" i="21" s="1"/>
  <c r="C152" i="21"/>
  <c r="E152" i="21"/>
  <c r="I106" i="21"/>
  <c r="H106" i="21"/>
  <c r="I107" i="21"/>
  <c r="H107" i="21"/>
  <c r="H108" i="21"/>
  <c r="I108" i="21"/>
  <c r="I109" i="21"/>
  <c r="H109" i="21"/>
  <c r="I110" i="21"/>
  <c r="H110" i="21"/>
  <c r="I111" i="21"/>
  <c r="H111" i="21"/>
  <c r="I112" i="21"/>
  <c r="H112" i="21"/>
  <c r="I113" i="21"/>
  <c r="H113" i="21"/>
  <c r="I114" i="21"/>
  <c r="H114" i="21"/>
  <c r="I115" i="21"/>
  <c r="H115" i="21"/>
  <c r="H116" i="21"/>
  <c r="I116" i="21"/>
  <c r="I117" i="21"/>
  <c r="H117" i="21"/>
  <c r="H118" i="21"/>
  <c r="I118" i="21"/>
  <c r="I119" i="21"/>
  <c r="H119" i="21"/>
  <c r="H120" i="21"/>
  <c r="I120" i="21"/>
  <c r="I72" i="21"/>
  <c r="H49" i="21" a="1"/>
  <c r="H49" i="21" s="1"/>
  <c r="K49" i="21"/>
  <c r="K29" i="21"/>
  <c r="N7" i="21"/>
  <c r="J7" i="21" a="1"/>
  <c r="H11" i="21"/>
  <c r="G11" i="21"/>
  <c r="H15" i="21"/>
  <c r="G15" i="21"/>
  <c r="G19" i="21"/>
  <c r="H19" i="21"/>
  <c r="H17" i="21"/>
  <c r="G17" i="21"/>
  <c r="H16" i="21"/>
  <c r="G16" i="21"/>
  <c r="H14" i="21"/>
  <c r="G14" i="21"/>
  <c r="H13" i="21"/>
  <c r="G13" i="21"/>
  <c r="H12" i="21"/>
  <c r="G12" i="21"/>
  <c r="H10" i="21"/>
  <c r="G10" i="21"/>
  <c r="H9" i="21"/>
  <c r="G9" i="21"/>
  <c r="H7" i="21"/>
  <c r="G7" i="21"/>
  <c r="H8" i="21"/>
  <c r="G8" i="21"/>
  <c r="H18" i="21"/>
  <c r="G18" i="21"/>
  <c r="H32" i="21"/>
  <c r="I29" i="21"/>
  <c r="I32" i="21"/>
  <c r="I35" i="21"/>
  <c r="I38" i="21"/>
  <c r="H30" i="21"/>
  <c r="H36" i="21"/>
  <c r="I31" i="21"/>
  <c r="I37" i="21"/>
  <c r="I40" i="21"/>
  <c r="H29" i="21"/>
  <c r="H35" i="21"/>
  <c r="H38" i="21"/>
  <c r="H33" i="21"/>
  <c r="H39" i="21"/>
  <c r="I34" i="21"/>
  <c r="I39" i="21"/>
  <c r="I36" i="21"/>
  <c r="I30" i="21"/>
  <c r="I33" i="21"/>
  <c r="H31" i="21"/>
  <c r="H34" i="21"/>
  <c r="H37" i="21"/>
  <c r="H40" i="21"/>
  <c r="K106" i="21" l="1"/>
  <c r="A158" i="21" a="1"/>
  <c r="A158" i="21" s="1"/>
  <c r="B155" i="21" s="1"/>
  <c r="L18" i="21"/>
  <c r="L19" i="21"/>
  <c r="K18" i="21"/>
  <c r="K19" i="21"/>
  <c r="L8" i="21"/>
  <c r="L9" i="21"/>
  <c r="K8" i="21"/>
  <c r="L11" i="21"/>
  <c r="L16" i="21"/>
  <c r="K15" i="21"/>
  <c r="L10" i="21"/>
  <c r="K11" i="21"/>
  <c r="K12" i="21"/>
  <c r="L14" i="21"/>
  <c r="L15" i="21"/>
  <c r="L17" i="21"/>
  <c r="K16" i="21"/>
  <c r="K17" i="21"/>
  <c r="K9" i="21"/>
  <c r="K10" i="21"/>
  <c r="L12" i="21"/>
  <c r="L13" i="21"/>
  <c r="K13" i="21"/>
  <c r="K14" i="21"/>
  <c r="J7" i="21"/>
  <c r="L7" i="21" l="1"/>
  <c r="K7"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F1410D-D68E-4A79-B87A-5D6413393F76}" keepAlive="1" name="Query - Category_table" description="Connection to the 'Category_table' query in the workbook." type="5" refreshedVersion="0" background="1">
    <dbPr connection="Provider=Microsoft.Mashup.OleDb.1;Data Source=$Workbook$;Location=Category_table;Extended Properties=&quot;&quot;" command="SELECT * FROM [Category_table]"/>
  </connection>
  <connection id="2" xr16:uid="{946AE5F2-BF67-4AB1-BA0D-449DC3216642}" keepAlive="1" name="Query - Finance_Data" description="Connection to the 'Finance_Data' query in the workbook." type="5" refreshedVersion="8" background="1">
    <dbPr connection="Provider=Microsoft.Mashup.OleDb.1;Data Source=$Workbook$;Location=Finance_Data;Extended Properties=&quot;&quot;" command="SELECT * FROM [Finance_Data]"/>
  </connection>
  <connection id="3" xr16:uid="{5050B75B-123E-4041-B551-157FFFCC4848}" keepAlive="1" name="Query - Finance_Data1" description="Connection to the 'Finance_Data' query in the workbook." type="5" refreshedVersion="0" background="1">
    <dbPr connection="Provider=Microsoft.Mashup.OleDb.1;Data Source=$Workbook$;Location=Finance_Data;Extended Properties=&quot;&quot;" command="SELECT * FROM [Finance_Data]"/>
  </connection>
  <connection id="4" xr16:uid="{5D766E64-DCBD-4724-8245-8B32E19EE672}" keepAlive="1" name="Query - tbl_Actual" description="Connection to the 'tbl_Actual' query in the workbook." type="5" refreshedVersion="0" background="1">
    <dbPr connection="Provider=Microsoft.Mashup.OleDb.1;Data Source=$Workbook$;Location=tbl_Actual;Extended Properties=&quot;&quot;" command="SELECT * FROM [tbl_Actual]"/>
  </connection>
  <connection id="5" xr16:uid="{51A0989B-DD20-4760-8749-2DE6E253E3F4}" keepAlive="1" name="Query - tbl_Budget_ByMonth" description="Connection to the 'tbl_Budget_ByMonth' query in the workbook." type="5" refreshedVersion="0" background="1">
    <dbPr connection="Provider=Microsoft.Mashup.OleDb.1;Data Source=$Workbook$;Location=tbl_Budget_ByMonth;Extended Properties=&quot;&quot;" command="SELECT * FROM [tbl_Budget_ByMonth]"/>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<sst xmlns="http://schemas.openxmlformats.org/spreadsheetml/2006/main" count="3059" uniqueCount="167">
  <si>
    <t>Date</t>
  </si>
  <si>
    <t>Category</t>
  </si>
  <si>
    <t>Amount</t>
  </si>
  <si>
    <t>Bank Transfer</t>
  </si>
  <si>
    <t>Groceries</t>
  </si>
  <si>
    <t>Walmart</t>
  </si>
  <si>
    <t>Debit Card</t>
  </si>
  <si>
    <t>Utilities</t>
  </si>
  <si>
    <t>Electricity</t>
  </si>
  <si>
    <t>Credit Card</t>
  </si>
  <si>
    <t>Entertainment</t>
  </si>
  <si>
    <t>Netflix</t>
  </si>
  <si>
    <t>Dining</t>
  </si>
  <si>
    <t>Insurance</t>
  </si>
  <si>
    <t>Costco</t>
  </si>
  <si>
    <t>Pharmacy</t>
  </si>
  <si>
    <t>Amazon</t>
  </si>
  <si>
    <t>Water</t>
  </si>
  <si>
    <t>Takeout</t>
  </si>
  <si>
    <t>Kroger</t>
  </si>
  <si>
    <t>Indian Store</t>
  </si>
  <si>
    <t>Cash</t>
  </si>
  <si>
    <t>Gas Utility</t>
  </si>
  <si>
    <t>Electric Charging</t>
  </si>
  <si>
    <t>Amazon Prime</t>
  </si>
  <si>
    <t>Disney+</t>
  </si>
  <si>
    <t>Home Insurance</t>
  </si>
  <si>
    <t>Zelle</t>
  </si>
  <si>
    <t>Salon</t>
  </si>
  <si>
    <t>Grand Total</t>
  </si>
  <si>
    <t>May</t>
  </si>
  <si>
    <t>Travel</t>
  </si>
  <si>
    <t>Vacation</t>
  </si>
  <si>
    <t>Jan</t>
  </si>
  <si>
    <t>Feb</t>
  </si>
  <si>
    <t>Mar</t>
  </si>
  <si>
    <t>Apr</t>
  </si>
  <si>
    <t>Jun</t>
  </si>
  <si>
    <t>Total Expense</t>
  </si>
  <si>
    <t>Sub Category</t>
  </si>
  <si>
    <t>Donation</t>
  </si>
  <si>
    <t>Salary</t>
  </si>
  <si>
    <t>Variable</t>
  </si>
  <si>
    <t>Dividend</t>
  </si>
  <si>
    <t>Investment Dividend</t>
  </si>
  <si>
    <t>Income</t>
  </si>
  <si>
    <t>Interest</t>
  </si>
  <si>
    <t>Savings Interest</t>
  </si>
  <si>
    <t>Mortgage Payment</t>
  </si>
  <si>
    <t>Expense</t>
  </si>
  <si>
    <t>Electricity Bill</t>
  </si>
  <si>
    <t>Water Bill</t>
  </si>
  <si>
    <t>Gas Bill</t>
  </si>
  <si>
    <t>EV Charging</t>
  </si>
  <si>
    <t>Monthly Donation</t>
  </si>
  <si>
    <t>Fixed</t>
  </si>
  <si>
    <t>Biweekly Salary</t>
  </si>
  <si>
    <t>Bulk Shopping</t>
  </si>
  <si>
    <t>Family Dining</t>
  </si>
  <si>
    <t>Miscellaneous</t>
  </si>
  <si>
    <t>Gift</t>
  </si>
  <si>
    <t>Birthday/Holiday Gift</t>
  </si>
  <si>
    <t>Subscription</t>
  </si>
  <si>
    <t>Household Purchases</t>
  </si>
  <si>
    <t>Specialty Groceries</t>
  </si>
  <si>
    <t>Haircut/Beauty</t>
  </si>
  <si>
    <t>Weekend Takeout</t>
  </si>
  <si>
    <t>Healthcare</t>
  </si>
  <si>
    <t>Weekly Groceries</t>
  </si>
  <si>
    <t>Family Trip</t>
  </si>
  <si>
    <t>Bonus</t>
  </si>
  <si>
    <t>Annual Bonus</t>
  </si>
  <si>
    <t>Income/Expense</t>
  </si>
  <si>
    <t>Description</t>
  </si>
  <si>
    <t>Housing</t>
  </si>
  <si>
    <t>Housing EMI/Property Tax</t>
  </si>
  <si>
    <t>Gas</t>
  </si>
  <si>
    <t>Internet</t>
  </si>
  <si>
    <t>Indian store</t>
  </si>
  <si>
    <t>Transportation</t>
  </si>
  <si>
    <t>Gas Fuel</t>
  </si>
  <si>
    <t>Auto Insurance</t>
  </si>
  <si>
    <t>Health Insurance</t>
  </si>
  <si>
    <t>Doctor Visits</t>
  </si>
  <si>
    <t>Dentist</t>
  </si>
  <si>
    <t>Vision</t>
  </si>
  <si>
    <t>Personal Care</t>
  </si>
  <si>
    <t>Ulta beauty</t>
  </si>
  <si>
    <t>Sally beauty</t>
  </si>
  <si>
    <t>Macy's</t>
  </si>
  <si>
    <t>Prime Video</t>
  </si>
  <si>
    <t>Apple tv</t>
  </si>
  <si>
    <t>Kohls</t>
  </si>
  <si>
    <t>Burlington</t>
  </si>
  <si>
    <t>Ross</t>
  </si>
  <si>
    <t>Home Goods/Electronics</t>
  </si>
  <si>
    <t>Emergency Fund</t>
  </si>
  <si>
    <t>Car Insurance</t>
  </si>
  <si>
    <t>Doctor visits</t>
  </si>
  <si>
    <t>Sally Beauty</t>
  </si>
  <si>
    <t>Clothing</t>
  </si>
  <si>
    <t>kohls</t>
  </si>
  <si>
    <t>Month</t>
  </si>
  <si>
    <t>Year</t>
  </si>
  <si>
    <t>Beauty Products</t>
  </si>
  <si>
    <t>Eye Checkup</t>
  </si>
  <si>
    <t>Annual Checkups</t>
  </si>
  <si>
    <t>Sick Visit</t>
  </si>
  <si>
    <t>Restaurant/Take out</t>
  </si>
  <si>
    <t>Dental Checkups</t>
  </si>
  <si>
    <t xml:space="preserve">Spectrum </t>
  </si>
  <si>
    <t>Clothes Purchase</t>
  </si>
  <si>
    <t>Electronics</t>
  </si>
  <si>
    <t>Home Goods</t>
  </si>
  <si>
    <t>Jul</t>
  </si>
  <si>
    <t>Aug</t>
  </si>
  <si>
    <t>Sep</t>
  </si>
  <si>
    <t>Oct</t>
  </si>
  <si>
    <t>Nov</t>
  </si>
  <si>
    <t>Dec</t>
  </si>
  <si>
    <t>Reporting Categories</t>
  </si>
  <si>
    <t>Budgeted Income and Expenses</t>
  </si>
  <si>
    <t>Credit</t>
  </si>
  <si>
    <t>Actual Expenses</t>
  </si>
  <si>
    <t>Payment Type</t>
  </si>
  <si>
    <t>Sum of Amount</t>
  </si>
  <si>
    <t>Categories</t>
  </si>
  <si>
    <t>Sick visit</t>
  </si>
  <si>
    <t>Car fix</t>
  </si>
  <si>
    <t>HVAC fix</t>
  </si>
  <si>
    <t>Appliance fix</t>
  </si>
  <si>
    <t>Budget</t>
  </si>
  <si>
    <t>Actual</t>
  </si>
  <si>
    <t>Variance</t>
  </si>
  <si>
    <t>Total Income</t>
  </si>
  <si>
    <t>Net Savings</t>
  </si>
  <si>
    <t>Total Budget</t>
  </si>
  <si>
    <t>Column Labels</t>
  </si>
  <si>
    <t>Data Type</t>
  </si>
  <si>
    <t>Expense by category</t>
  </si>
  <si>
    <t>Income trend by month</t>
  </si>
  <si>
    <t>Actual Savings</t>
  </si>
  <si>
    <t>Budget Savings</t>
  </si>
  <si>
    <t>Expense Distribution</t>
  </si>
  <si>
    <t>Income Breakdown</t>
  </si>
  <si>
    <t xml:space="preserve">KPI </t>
  </si>
  <si>
    <t>Budget Utilization</t>
  </si>
  <si>
    <t>Business Insights</t>
  </si>
  <si>
    <t>Footer</t>
  </si>
  <si>
    <t>Months</t>
  </si>
  <si>
    <t>Actual Data Label</t>
  </si>
  <si>
    <t>Budget Data Label</t>
  </si>
  <si>
    <t>Helper Table</t>
  </si>
  <si>
    <t>Total Amount</t>
  </si>
  <si>
    <t>Top 5</t>
  </si>
  <si>
    <t>Others</t>
  </si>
  <si>
    <t>Chart_Top 5</t>
  </si>
  <si>
    <t>Chart_Others</t>
  </si>
  <si>
    <t>Helper table</t>
  </si>
  <si>
    <t>Helper Table for sorting</t>
  </si>
  <si>
    <t>Empty State Message</t>
  </si>
  <si>
    <t>Budget vs Actual expense</t>
  </si>
  <si>
    <t>Filtered table for the chart legend</t>
  </si>
  <si>
    <t>Income Source</t>
  </si>
  <si>
    <t>Monthly Savings Trend</t>
  </si>
  <si>
    <t>Variance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</si>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</sst>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0.00;[Red]#,##0.00"/>
    <numFmt numFmtId="165" formatCode="#,##0;[Red]#,##0"/>
    <numFmt numFmtId="166" formatCode="\+&quot;$&quot;0"/>
    <numFmt numFmtId="167" formatCode="&quot;$&quot;0"/>
    <numFmt numFmtId="169" formatCode="0.0%"/>
    <numFmt numFmtId="170" formatCode="&quot;$&quot;#,##0"/>
    <numFmt numFmtId="171" formatCode="&quot;$&quot;#,##0;\-&quot;$&quot;#,##0"/>
    <numFmt numFmtId="172" formatCode="&quot;$&quot;#,##0;\-&quot;$&quot;#,##0;\ &quot;$&quot;0"/>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2"/>
      <color theme="0"/>
      <name val="Calibri"/>
      <family val="2"/>
      <scheme val="minor"/>
    </font>
    <font>
      <b/>
      <sz val="28"/>
      <color theme="0"/>
      <name val="Calibri"/>
      <family val="2"/>
      <scheme val="minor"/>
    </font>
    <font>
      <sz val="14"/>
      <color theme="0"/>
      <name val="Calibri"/>
      <family val="2"/>
      <scheme val="minor"/>
    </font>
    <font>
      <sz val="11"/>
      <name val="Calibri"/>
      <family val="2"/>
    </font>
    <font>
      <sz val="8"/>
      <name val="Calibri"/>
      <family val="2"/>
      <scheme val="minor"/>
    </font>
    <font>
      <b/>
      <sz val="11"/>
      <color theme="0"/>
      <name val="Calibri"/>
      <family val="2"/>
      <scheme val="minor"/>
    </font>
    <font>
      <sz val="11"/>
      <color theme="0"/>
      <name val="Calibri"/>
      <family val="2"/>
      <scheme val="minor"/>
    </font>
    <font>
      <sz val="28"/>
      <color theme="0"/>
      <name val="Calibri"/>
      <family val="2"/>
      <scheme val="minor"/>
    </font>
    <font>
      <sz val="36"/>
      <color theme="0"/>
      <name val="Calibri"/>
      <family val="2"/>
      <scheme val="minor"/>
    </font>
    <font>
      <sz val="11"/>
      <color rgb="FF000000"/>
      <name val="Calibri"/>
      <family val="2"/>
      <scheme val="minor"/>
    </font>
    <font>
      <sz val="11"/>
      <name val="Calibri"/>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s>
  <borders count="7">
    <border>
      <left/>
      <right/>
      <top/>
      <bottom/>
      <diagonal/>
    </border>
    <border>
      <left style="thin">
        <color theme="0"/>
      </left>
      <right/>
      <top style="thin">
        <color theme="0"/>
      </top>
      <bottom style="thin">
        <color theme="0"/>
      </bottom>
      <diagonal/>
    </border>
    <border>
      <left style="thin">
        <color theme="0"/>
      </left>
      <right/>
      <top/>
      <bottom style="thick">
        <color theme="0"/>
      </bottom>
      <diagonal/>
    </border>
    <border>
      <left/>
      <right style="thin">
        <color theme="0"/>
      </right>
      <top/>
      <bottom style="thick">
        <color theme="0"/>
      </bottom>
      <diagonal/>
    </border>
    <border>
      <left/>
      <right style="thin">
        <color theme="0"/>
      </right>
      <top style="thin">
        <color theme="0"/>
      </top>
      <bottom style="thin">
        <color theme="0"/>
      </bottom>
      <diagonal/>
    </border>
    <border>
      <left/>
      <right/>
      <top/>
      <bottom style="thick">
        <color theme="0"/>
      </bottom>
      <diagonal/>
    </border>
    <border>
      <left/>
      <right/>
      <top style="thin">
        <color theme="0"/>
      </top>
      <bottom style="thin">
        <color theme="0"/>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5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0" xfId="0" applyFont="1"/>
    <xf numFmtId="0" fontId="0" fillId="3" borderId="0" xfId="0" applyFill="1"/>
    <xf numFmtId="0" fontId="0" fillId="4" borderId="0" xfId="0" applyFill="1"/>
    <xf numFmtId="0" fontId="6" fillId="0" borderId="3" xfId="0" applyFont="1" applyBorder="1"/>
    <xf numFmtId="0" fontId="6" fillId="0" borderId="5" xfId="0" applyFont="1" applyBorder="1"/>
    <xf numFmtId="0" fontId="6" fillId="0" borderId="2" xfId="0" applyFont="1" applyBorder="1"/>
    <xf numFmtId="0" fontId="6" fillId="0" borderId="4" xfId="0" applyFont="1" applyBorder="1"/>
    <xf numFmtId="0" fontId="6" fillId="0" borderId="6" xfId="0" applyFont="1" applyBorder="1"/>
    <xf numFmtId="0" fontId="6" fillId="0" borderId="1" xfId="0" applyFont="1" applyBorder="1"/>
    <xf numFmtId="0" fontId="0" fillId="0" borderId="4" xfId="0" applyBorder="1"/>
    <xf numFmtId="0" fontId="0" fillId="0" borderId="6" xfId="0" applyBorder="1"/>
    <xf numFmtId="0" fontId="0" fillId="0" borderId="1" xfId="0" applyBorder="1"/>
    <xf numFmtId="0" fontId="11" fillId="5" borderId="0" xfId="0" applyFont="1" applyFill="1" applyAlignment="1">
      <alignment vertical="center"/>
    </xf>
    <xf numFmtId="0" fontId="9" fillId="5" borderId="0" xfId="0" applyFont="1" applyFill="1" applyAlignment="1">
      <alignment vertical="center"/>
    </xf>
    <xf numFmtId="0" fontId="10" fillId="5" borderId="0" xfId="0" applyFont="1" applyFill="1" applyAlignment="1">
      <alignment vertical="center"/>
    </xf>
    <xf numFmtId="0" fontId="0" fillId="5" borderId="0" xfId="0" applyFill="1"/>
    <xf numFmtId="0" fontId="0" fillId="5" borderId="0" xfId="0" applyFill="1" applyAlignment="1">
      <alignment vertical="center"/>
    </xf>
    <xf numFmtId="9" fontId="0" fillId="0" borderId="0" xfId="1" applyFont="1"/>
    <xf numFmtId="0" fontId="0" fillId="0" borderId="0" xfId="0" applyAlignment="1">
      <alignment horizontal="left" indent="1"/>
    </xf>
    <xf numFmtId="166" fontId="0" fillId="0" borderId="0" xfId="1" applyNumberFormat="1" applyFont="1"/>
    <xf numFmtId="167" fontId="0" fillId="0" borderId="0" xfId="1" applyNumberFormat="1" applyFont="1"/>
    <xf numFmtId="0" fontId="0" fillId="0" borderId="0" xfId="2" applyNumberFormat="1" applyFont="1"/>
    <xf numFmtId="167" fontId="0" fillId="0" borderId="0" xfId="2" applyNumberFormat="1" applyFont="1"/>
    <xf numFmtId="9" fontId="0" fillId="0" borderId="0" xfId="0" applyNumberFormat="1"/>
    <xf numFmtId="166" fontId="0" fillId="0" borderId="0" xfId="0" applyNumberFormat="1"/>
    <xf numFmtId="167" fontId="0" fillId="0" borderId="0" xfId="0" applyNumberFormat="1"/>
    <xf numFmtId="0" fontId="9" fillId="2" borderId="0" xfId="0" applyFont="1" applyFill="1"/>
    <xf numFmtId="0" fontId="12" fillId="0" borderId="0" xfId="0" applyFont="1"/>
    <xf numFmtId="0" fontId="0" fillId="6" borderId="0" xfId="0" applyFill="1"/>
    <xf numFmtId="0" fontId="3" fillId="6" borderId="0" xfId="0" applyFont="1" applyFill="1" applyAlignment="1">
      <alignment horizontal="centerContinuous"/>
    </xf>
    <xf numFmtId="164" fontId="0" fillId="6" borderId="0" xfId="0" applyNumberFormat="1" applyFill="1"/>
    <xf numFmtId="10" fontId="0" fillId="6" borderId="0" xfId="0" applyNumberFormat="1" applyFill="1"/>
    <xf numFmtId="10" fontId="0" fillId="6" borderId="0" xfId="1" applyNumberFormat="1" applyFont="1" applyFill="1" applyBorder="1"/>
    <xf numFmtId="0" fontId="2" fillId="6" borderId="0" xfId="0" applyFont="1" applyFill="1"/>
    <xf numFmtId="164" fontId="2" fillId="6" borderId="0" xfId="0" applyNumberFormat="1" applyFont="1" applyFill="1"/>
    <xf numFmtId="10" fontId="2" fillId="6" borderId="0" xfId="1" applyNumberFormat="1" applyFont="1" applyFill="1" applyBorder="1"/>
    <xf numFmtId="10" fontId="2" fillId="6" borderId="0" xfId="0" applyNumberFormat="1" applyFont="1" applyFill="1"/>
    <xf numFmtId="165" fontId="0" fillId="6" borderId="0" xfId="0" applyNumberFormat="1" applyFill="1"/>
    <xf numFmtId="165" fontId="0" fillId="0" borderId="0" xfId="0" applyNumberFormat="1"/>
    <xf numFmtId="0" fontId="9" fillId="0" borderId="0" xfId="0" applyFont="1"/>
    <xf numFmtId="169" fontId="0" fillId="0" borderId="0" xfId="1" applyNumberFormat="1" applyFont="1"/>
    <xf numFmtId="170" fontId="0" fillId="0" borderId="0" xfId="2" applyNumberFormat="1" applyFont="1"/>
    <xf numFmtId="0" fontId="13" fillId="0" borderId="0" xfId="0" applyFont="1"/>
    <xf numFmtId="171" fontId="0" fillId="0" borderId="0" xfId="0" applyNumberFormat="1"/>
    <xf numFmtId="0" fontId="4" fillId="2" borderId="0" xfId="0" applyFont="1" applyFill="1" applyAlignment="1">
      <alignment horizontal="center" vertical="center"/>
    </xf>
    <xf numFmtId="0" fontId="5" fillId="2" borderId="0" xfId="0" applyFont="1" applyFill="1" applyAlignment="1">
      <alignment horizontal="center" vertical="top"/>
    </xf>
    <xf numFmtId="0" fontId="0" fillId="0" borderId="0" xfId="0" applyNumberFormat="1"/>
    <xf numFmtId="172" fontId="0" fillId="0" borderId="0" xfId="2" applyNumberFormat="1" applyFont="1"/>
    <xf numFmtId="0" fontId="8" fillId="0" borderId="0" xfId="0" applyFont="1" applyBorder="1"/>
    <xf numFmtId="167" fontId="8" fillId="0" borderId="0" xfId="0" applyNumberFormat="1" applyFont="1" applyBorder="1"/>
  </cellXfs>
  <cellStyles count="3">
    <cellStyle name="Currency" xfId="2" builtinId="4"/>
    <cellStyle name="Normal" xfId="0" builtinId="0"/>
    <cellStyle name="Percent" xfId="1" builtinId="5"/>
  </cellStyles>
  <dxfs count="43">
    <dxf>
      <font>
        <color rgb="FF007033"/>
      </font>
      <fill>
        <patternFill>
          <bgColor theme="9" tint="0.39994506668294322"/>
        </patternFill>
      </fill>
    </dxf>
    <dxf>
      <font>
        <color rgb="FFC00000"/>
      </font>
      <fill>
        <patternFill>
          <bgColor rgb="FFFFC5C5"/>
        </patternFill>
      </fill>
    </dxf>
    <dxf>
      <font>
        <color rgb="FFC00000"/>
      </font>
      <fill>
        <patternFill>
          <bgColor rgb="FFFFC9C9"/>
        </patternFill>
      </fill>
    </dxf>
    <dxf>
      <font>
        <color rgb="FF007033"/>
      </font>
      <fill>
        <patternFill>
          <bgColor theme="9" tint="0.39994506668294322"/>
        </patternFill>
      </fill>
    </dxf>
    <dxf>
      <font>
        <color rgb="FF9C0006"/>
      </font>
      <fill>
        <patternFill>
          <bgColor rgb="FFFFC7CE"/>
        </patternFill>
      </fill>
    </dxf>
    <dxf>
      <numFmt numFmtId="169" formatCode="0.0%"/>
    </dxf>
    <dxf>
      <numFmt numFmtId="172" formatCode="&quot;$&quot;#,##0;\-&quot;$&quot;#,##0;\ &quot;$&quot;0"/>
    </dxf>
    <dxf>
      <numFmt numFmtId="172" formatCode="&quot;$&quot;#,##0;\-&quot;$&quot;#,##0;\ &quot;$&quot;0"/>
    </dxf>
    <dxf>
      <numFmt numFmtId="172" formatCode="&quot;$&quot;#,##0;\-&quot;$&quot;#,##0;\ &quot;$&quot;0"/>
    </dxf>
    <dxf>
      <numFmt numFmtId="172" formatCode="&quot;$&quot;#,##0;\-&quot;$&quot;#,##0;\ &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font>
        <b val="0"/>
      </font>
      <fill>
        <patternFill patternType="none">
          <fgColor indexed="64"/>
          <bgColor auto="1"/>
        </patternFill>
      </fill>
      <border diagonalUp="0" diagonalDown="0" outline="0">
        <left style="thin">
          <color theme="0"/>
        </left>
        <right/>
        <top style="thin">
          <color theme="0"/>
        </top>
        <bottom style="thin">
          <color theme="0"/>
        </bottom>
      </border>
    </dxf>
    <dxf>
      <font>
        <b val="0"/>
      </font>
      <fill>
        <patternFill patternType="none">
          <fgColor indexed="64"/>
          <bgColor auto="1"/>
        </patternFill>
      </fill>
      <border diagonalUp="0" diagonalDown="0" outline="0">
        <left/>
        <right/>
        <top style="thin">
          <color theme="0"/>
        </top>
        <bottom style="thin">
          <color theme="0"/>
        </bottom>
      </border>
    </dxf>
    <dxf>
      <font>
        <b val="0"/>
      </font>
      <fill>
        <patternFill patternType="none">
          <fgColor indexed="64"/>
          <bgColor auto="1"/>
        </patternFill>
      </fill>
      <border diagonalUp="0" diagonalDown="0" outline="0">
        <left/>
        <right style="thin">
          <color theme="0"/>
        </right>
        <top style="thin">
          <color theme="0"/>
        </top>
        <bottom style="thin">
          <color theme="0"/>
        </bottom>
      </border>
    </dxf>
    <dxf>
      <border outline="0">
        <top style="thin">
          <color theme="0"/>
        </top>
      </border>
    </dxf>
    <dxf>
      <border outline="0">
        <left style="thin">
          <color theme="0"/>
        </left>
        <bottom style="thin">
          <color theme="0"/>
        </bottom>
      </border>
    </dxf>
    <dxf>
      <font>
        <b val="0"/>
        <family val="2"/>
      </font>
      <fill>
        <patternFill patternType="none">
          <fgColor indexed="64"/>
          <bgColor auto="1"/>
        </patternFill>
      </fill>
    </dxf>
    <dxf>
      <border outline="0">
        <bottom style="thick">
          <color theme="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theme="0"/>
        </left>
        <right style="thin">
          <color theme="0"/>
        </right>
        <top/>
        <bottom/>
      </border>
    </dxf>
    <dxf>
      <font>
        <b val="0"/>
      </font>
      <fill>
        <patternFill patternType="none">
          <fgColor indexed="64"/>
          <bgColor auto="1"/>
        </patternFill>
      </fill>
      <border diagonalUp="0" diagonalDown="0" outline="0">
        <left style="thin">
          <color theme="0"/>
        </left>
        <right/>
        <top style="thin">
          <color theme="0"/>
        </top>
        <bottom style="thin">
          <color theme="0"/>
        </bottom>
      </border>
    </dxf>
    <dxf>
      <font>
        <b val="0"/>
      </font>
      <fill>
        <patternFill patternType="none">
          <fgColor indexed="64"/>
          <bgColor auto="1"/>
        </patternFill>
      </fill>
      <border diagonalUp="0" diagonalDown="0" outline="0">
        <left/>
        <right/>
        <top style="thin">
          <color theme="0"/>
        </top>
        <bottom style="thin">
          <color theme="0"/>
        </bottom>
      </border>
    </dxf>
    <dxf>
      <font>
        <b val="0"/>
      </font>
      <fill>
        <patternFill patternType="none">
          <fgColor indexed="64"/>
          <bgColor auto="1"/>
        </patternFill>
      </fill>
      <border diagonalUp="0" diagonalDown="0" outline="0">
        <left/>
        <right style="thin">
          <color theme="0"/>
        </right>
        <top style="thin">
          <color theme="0"/>
        </top>
        <bottom style="thin">
          <color theme="0"/>
        </bottom>
      </border>
    </dxf>
    <dxf>
      <border outline="0">
        <top style="thin">
          <color theme="0"/>
        </top>
      </border>
    </dxf>
    <dxf>
      <border outline="0">
        <left style="thin">
          <color theme="0"/>
        </left>
        <bottom style="thin">
          <color theme="0"/>
        </bottom>
      </border>
    </dxf>
    <dxf>
      <font>
        <b val="0"/>
        <family val="2"/>
      </font>
      <fill>
        <patternFill patternType="none">
          <fgColor indexed="64"/>
          <bgColor auto="1"/>
        </patternFill>
      </fill>
    </dxf>
    <dxf>
      <border outline="0">
        <bottom style="thick">
          <color theme="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theme="0"/>
        </left>
        <right style="thin">
          <color theme="0"/>
        </right>
        <top/>
        <bottom/>
      </border>
    </dxf>
    <dxf>
      <numFmt numFmtId="171" formatCode="&quot;$&quot;#,##0;\-&quot;$&quot;#,##0"/>
    </dxf>
  </dxfs>
  <tableStyles count="1" defaultTableStyle="TableStyleMedium2" defaultPivotStyle="PivotStyleLight16">
    <tableStyle name="Slicer Style 1" pivot="0" table="0" count="0" xr9:uid="{BA5E0390-558A-4221-A564-E6CCC90B9AAE}"/>
  </tableStyles>
  <colors>
    <mruColors>
      <color rgb="FF009E47"/>
      <color rgb="FFBED9F0"/>
      <color rgb="FF002D86"/>
      <color rgb="FF007033"/>
      <color rgb="FFFFC9C9"/>
      <color rgb="FFFFC5C5"/>
      <color rgb="FFFFBDB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r>
              <a:rPr lang="en-US" sz="1400" b="1" i="0" u="none" strike="noStrike" kern="1200" spc="0" baseline="0">
                <a:solidFill>
                  <a:schemeClr val="accent1">
                    <a:lumMod val="50000"/>
                  </a:schemeClr>
                </a:solidFill>
                <a:latin typeface="Aptos" panose="020B0004020202020204" pitchFamily="34" charset="0"/>
                <a:ea typeface="+mn-ea"/>
                <a:cs typeface="+mn-cs"/>
              </a:rPr>
              <a:t>Expense Distribution</a:t>
            </a:r>
          </a:p>
        </c:rich>
      </c:tx>
      <c:layout>
        <c:manualLayout>
          <c:xMode val="edge"/>
          <c:yMode val="edge"/>
          <c:x val="3.9802458903163439E-2"/>
          <c:y val="2.252252252252252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8.565455633835245E-2"/>
          <c:y val="0.14839770873235442"/>
          <c:w val="0.54959755030621171"/>
          <c:h val="0.70556442269040698"/>
        </c:manualLayout>
      </c:layout>
      <c:doughnutChart>
        <c:varyColors val="1"/>
        <c:ser>
          <c:idx val="0"/>
          <c:order val="0"/>
          <c:tx>
            <c:strRef>
              <c:f>Analysis!$I$48</c:f>
              <c:strCache>
                <c:ptCount val="1"/>
                <c:pt idx="0">
                  <c:v>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06-466E-AAC6-8B4AE8A408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06-466E-AAC6-8B4AE8A408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06-466E-AAC6-8B4AE8A408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06-466E-AAC6-8B4AE8A408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06-466E-AAC6-8B4AE8A408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06-466E-AAC6-8B4AE8A408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06-466E-AAC6-8B4AE8A408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06-466E-AAC6-8B4AE8A408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06-466E-AAC6-8B4AE8A408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F06-466E-AAC6-8B4AE8A408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F06-466E-AAC6-8B4AE8A408EE}"/>
              </c:ext>
            </c:extLst>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Lbls>
            <c:numFmt formatCode="0%" sourceLinked="0"/>
            <c:spPr>
              <a:noFill/>
              <a:ln>
                <a:noFill/>
              </a:ln>
              <a:effectLst/>
            </c:spPr>
            <c:txPr>
              <a:bodyPr rot="0" spcFirstLastPara="1" vertOverflow="overflow" horzOverflow="overflow" vert="horz" wrap="square" lIns="38100" tIns="19050" rIns="38100" bIns="19050" anchor="b"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Analysis!$H$49:$H$61</c:f>
              <c:strCache>
                <c:ptCount val="13"/>
                <c:pt idx="0">
                  <c:v>Housing</c:v>
                </c:pt>
                <c:pt idx="1">
                  <c:v>Groceries</c:v>
                </c:pt>
                <c:pt idx="2">
                  <c:v>Healthcare</c:v>
                </c:pt>
                <c:pt idx="3">
                  <c:v>Utilities</c:v>
                </c:pt>
                <c:pt idx="4">
                  <c:v>Travel</c:v>
                </c:pt>
                <c:pt idx="5">
                  <c:v>Transportation</c:v>
                </c:pt>
                <c:pt idx="6">
                  <c:v>Miscellaneous</c:v>
                </c:pt>
                <c:pt idx="7">
                  <c:v>Dining</c:v>
                </c:pt>
                <c:pt idx="8">
                  <c:v>Home Goods</c:v>
                </c:pt>
                <c:pt idx="9">
                  <c:v>Emergency Fund</c:v>
                </c:pt>
                <c:pt idx="10">
                  <c:v>Clothing</c:v>
                </c:pt>
                <c:pt idx="11">
                  <c:v>Personal Care</c:v>
                </c:pt>
                <c:pt idx="12">
                  <c:v>Entertainment</c:v>
                </c:pt>
              </c:strCache>
            </c:strRef>
          </c:cat>
          <c:val>
            <c:numRef>
              <c:f>Analysis!$I$49:$I$61</c:f>
              <c:numCache>
                <c:formatCode>General</c:formatCode>
                <c:ptCount val="13"/>
                <c:pt idx="0">
                  <c:v>34544</c:v>
                </c:pt>
                <c:pt idx="1">
                  <c:v>7980</c:v>
                </c:pt>
                <c:pt idx="2">
                  <c:v>3822</c:v>
                </c:pt>
                <c:pt idx="3">
                  <c:v>3796</c:v>
                </c:pt>
                <c:pt idx="4">
                  <c:v>3410</c:v>
                </c:pt>
                <c:pt idx="5">
                  <c:v>3279</c:v>
                </c:pt>
                <c:pt idx="6">
                  <c:v>1830</c:v>
                </c:pt>
                <c:pt idx="7">
                  <c:v>1765</c:v>
                </c:pt>
                <c:pt idx="8">
                  <c:v>1374</c:v>
                </c:pt>
                <c:pt idx="9">
                  <c:v>1220</c:v>
                </c:pt>
                <c:pt idx="10">
                  <c:v>968</c:v>
                </c:pt>
                <c:pt idx="11">
                  <c:v>836</c:v>
                </c:pt>
                <c:pt idx="12">
                  <c:v>456</c:v>
                </c:pt>
              </c:numCache>
            </c:numRef>
          </c:val>
          <c:extLst>
            <c:ext xmlns:c16="http://schemas.microsoft.com/office/drawing/2014/chart" uri="{C3380CC4-5D6E-409C-BE32-E72D297353CC}">
              <c16:uniqueId val="{0000001A-2F06-466E-AAC6-8B4AE8A408EE}"/>
            </c:ext>
          </c:extLst>
        </c:ser>
        <c:dLbls>
          <c:showLegendKey val="0"/>
          <c:showVal val="1"/>
          <c:showCatName val="0"/>
          <c:showSerName val="0"/>
          <c:showPercent val="0"/>
          <c:showBubbleSize val="0"/>
          <c:showLeaderLines val="0"/>
        </c:dLbls>
        <c:firstSliceAng val="270"/>
        <c:holeSize val="50"/>
      </c:doughnutChart>
      <c:spPr>
        <a:noFill/>
        <a:ln>
          <a:noFill/>
        </a:ln>
        <a:effectLst/>
      </c:spPr>
    </c:plotArea>
    <c:legend>
      <c:legendPos val="r"/>
      <c:layout>
        <c:manualLayout>
          <c:xMode val="edge"/>
          <c:yMode val="edge"/>
          <c:x val="0.75796265598379153"/>
          <c:y val="8.6314759641531319E-2"/>
          <c:w val="0.22449348436708569"/>
          <c:h val="0.84272303799862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r>
              <a:rPr lang="en-US" sz="1400" b="1" i="0" u="none" strike="noStrike" kern="1200" spc="0" baseline="0">
                <a:solidFill>
                  <a:schemeClr val="accent1">
                    <a:lumMod val="50000"/>
                  </a:schemeClr>
                </a:solidFill>
                <a:latin typeface="Aptos" panose="020B0004020202020204" pitchFamily="34" charset="0"/>
                <a:ea typeface="+mn-ea"/>
                <a:cs typeface="+mn-cs"/>
              </a:rPr>
              <a:t>Monthly Savings Trend</a:t>
            </a:r>
          </a:p>
          <a:p>
            <a:pPr algn="ctr" rtl="0">
              <a:defRPr lang="en-US" b="1">
                <a:solidFill>
                  <a:schemeClr val="accent1">
                    <a:lumMod val="50000"/>
                  </a:schemeClr>
                </a:solidFill>
                <a:latin typeface="Aptos" panose="020B0004020202020204" pitchFamily="34" charset="0"/>
              </a:defRPr>
            </a:pPr>
            <a:r>
              <a:rPr lang="en-US" sz="1000" b="0" i="1" u="none" strike="noStrike" baseline="0"/>
              <a:t>Overall income vs. expenses</a:t>
            </a:r>
            <a:endParaRPr lang="en-US" sz="1000" b="0" i="1" u="none" strike="noStrike" kern="1200" spc="0" baseline="0">
              <a:solidFill>
                <a:schemeClr val="accent1">
                  <a:lumMod val="50000"/>
                </a:schemeClr>
              </a:solidFill>
              <a:latin typeface="Aptos" panose="020B0004020202020204" pitchFamily="34" charset="0"/>
              <a:ea typeface="+mn-ea"/>
              <a:cs typeface="+mn-cs"/>
            </a:endParaRPr>
          </a:p>
        </c:rich>
      </c:tx>
      <c:layout>
        <c:manualLayout>
          <c:xMode val="edge"/>
          <c:yMode val="edge"/>
          <c:x val="2.6812335958005248E-2"/>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endParaRPr lang="en-US"/>
        </a:p>
      </c:txPr>
    </c:title>
    <c:autoTitleDeleted val="0"/>
    <c:plotArea>
      <c:layout/>
      <c:lineChart>
        <c:grouping val="standard"/>
        <c:varyColors val="0"/>
        <c:ser>
          <c:idx val="0"/>
          <c:order val="0"/>
          <c:tx>
            <c:strRef>
              <c:f>Analysis!$H$129</c:f>
              <c:strCache>
                <c:ptCount val="1"/>
                <c:pt idx="0">
                  <c:v>Actual Savings</c:v>
                </c:pt>
              </c:strCache>
            </c:strRef>
          </c:tx>
          <c:spPr>
            <a:ln w="28575" cap="rnd">
              <a:solidFill>
                <a:schemeClr val="accent5"/>
              </a:solidFill>
              <a:round/>
            </a:ln>
            <a:effectLst/>
          </c:spPr>
          <c:marker>
            <c:symbol val="circle"/>
            <c:size val="5"/>
            <c:spPr>
              <a:solidFill>
                <a:schemeClr val="accent1">
                  <a:lumMod val="75000"/>
                </a:schemeClr>
              </a:solidFill>
              <a:ln w="12700">
                <a:solidFill>
                  <a:schemeClr val="accent1">
                    <a:lumMod val="75000"/>
                  </a:schemeClr>
                </a:solidFill>
              </a:ln>
              <a:effectLst/>
            </c:spPr>
          </c:marker>
          <c:cat>
            <c:strRef>
              <c:f>Analysis!$G$130:$G$141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Analysis!$H$130:$H$141</c:f>
              <c:numCache>
                <c:formatCode>General</c:formatCode>
                <c:ptCount val="12"/>
                <c:pt idx="0">
                  <c:v>2402</c:v>
                </c:pt>
                <c:pt idx="1">
                  <c:v>1938</c:v>
                </c:pt>
                <c:pt idx="2">
                  <c:v>793</c:v>
                </c:pt>
                <c:pt idx="3">
                  <c:v>2213</c:v>
                </c:pt>
                <c:pt idx="4">
                  <c:v>2007</c:v>
                </c:pt>
                <c:pt idx="5">
                  <c:v>796</c:v>
                </c:pt>
                <c:pt idx="6">
                  <c:v>-97</c:v>
                </c:pt>
                <c:pt idx="7">
                  <c:v>5199</c:v>
                </c:pt>
                <c:pt idx="8">
                  <c:v>1537</c:v>
                </c:pt>
                <c:pt idx="9">
                  <c:v>1746</c:v>
                </c:pt>
                <c:pt idx="10">
                  <c:v>876</c:v>
                </c:pt>
                <c:pt idx="11">
                  <c:v>745</c:v>
                </c:pt>
              </c:numCache>
            </c:numRef>
          </c:val>
          <c:smooth val="0"/>
          <c:extLst xmlns:c15="http://schemas.microsoft.com/office/drawing/2012/chart">
            <c:ext xmlns:c16="http://schemas.microsoft.com/office/drawing/2014/chart" uri="{C3380CC4-5D6E-409C-BE32-E72D297353CC}">
              <c16:uniqueId val="{00000002-2E4C-4216-93FE-C48CD93B0F46}"/>
            </c:ext>
          </c:extLst>
        </c:ser>
        <c:ser>
          <c:idx val="1"/>
          <c:order val="1"/>
          <c:tx>
            <c:strRef>
              <c:f>Analysis!$I$129</c:f>
              <c:strCache>
                <c:ptCount val="1"/>
                <c:pt idx="0">
                  <c:v>Budget Savings</c:v>
                </c:pt>
              </c:strCache>
            </c:strRef>
          </c:tx>
          <c:spPr>
            <a:ln w="28575" cap="rnd">
              <a:solidFill>
                <a:schemeClr val="accent2"/>
              </a:solidFill>
              <a:round/>
            </a:ln>
            <a:effectLst/>
          </c:spPr>
          <c:marker>
            <c:symbol val="circle"/>
            <c:size val="5"/>
            <c:spPr>
              <a:solidFill>
                <a:schemeClr val="accent2">
                  <a:lumMod val="75000"/>
                </a:schemeClr>
              </a:solidFill>
              <a:ln w="12700">
                <a:solidFill>
                  <a:schemeClr val="accent2">
                    <a:lumMod val="75000"/>
                  </a:schemeClr>
                </a:solidFill>
              </a:ln>
              <a:effectLst/>
            </c:spPr>
          </c:marker>
          <c:cat>
            <c:strRef>
              <c:f>Analysis!$G$130:$G$141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Analysis!$I$130:$I$141</c:f>
              <c:numCache>
                <c:formatCode>General</c:formatCode>
                <c:ptCount val="12"/>
                <c:pt idx="0">
                  <c:v>-1067</c:v>
                </c:pt>
                <c:pt idx="1">
                  <c:v>1688</c:v>
                </c:pt>
                <c:pt idx="2">
                  <c:v>3688</c:v>
                </c:pt>
                <c:pt idx="3">
                  <c:v>1993</c:v>
                </c:pt>
                <c:pt idx="4">
                  <c:v>1653</c:v>
                </c:pt>
                <c:pt idx="5">
                  <c:v>678</c:v>
                </c:pt>
                <c:pt idx="6">
                  <c:v>-37</c:v>
                </c:pt>
                <c:pt idx="7">
                  <c:v>1573</c:v>
                </c:pt>
                <c:pt idx="8">
                  <c:v>4938</c:v>
                </c:pt>
                <c:pt idx="9">
                  <c:v>1358</c:v>
                </c:pt>
                <c:pt idx="10">
                  <c:v>628</c:v>
                </c:pt>
                <c:pt idx="11">
                  <c:v>108</c:v>
                </c:pt>
              </c:numCache>
            </c:numRef>
          </c:val>
          <c:smooth val="0"/>
          <c:extLst xmlns:c15="http://schemas.microsoft.com/office/drawing/2012/chart">
            <c:ext xmlns:c16="http://schemas.microsoft.com/office/drawing/2014/chart" uri="{C3380CC4-5D6E-409C-BE32-E72D297353CC}">
              <c16:uniqueId val="{00000003-2E4C-4216-93FE-C48CD93B0F46}"/>
            </c:ext>
          </c:extLst>
        </c:ser>
        <c:dLbls>
          <c:showLegendKey val="0"/>
          <c:showVal val="0"/>
          <c:showCatName val="0"/>
          <c:showSerName val="0"/>
          <c:showPercent val="0"/>
          <c:showBubbleSize val="0"/>
        </c:dLbls>
        <c:marker val="1"/>
        <c:smooth val="0"/>
        <c:axId val="1942598239"/>
        <c:axId val="1906754031"/>
        <c:extLst/>
      </c:lineChart>
      <c:catAx>
        <c:axId val="19425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54031"/>
        <c:crosses val="autoZero"/>
        <c:auto val="1"/>
        <c:lblAlgn val="ctr"/>
        <c:lblOffset val="100"/>
        <c:noMultiLvlLbl val="0"/>
      </c:catAx>
      <c:valAx>
        <c:axId val="1906754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panose="020B0004020202020204" pitchFamily="34" charset="0"/>
                  </a:rPr>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98239"/>
        <c:crosses val="autoZero"/>
        <c:crossBetween val="between"/>
      </c:valAx>
      <c:spPr>
        <a:noFill/>
        <a:ln>
          <a:noFill/>
        </a:ln>
        <a:effectLst/>
      </c:spPr>
    </c:plotArea>
    <c:legend>
      <c:legendPos val="t"/>
      <c:layout>
        <c:manualLayout>
          <c:xMode val="edge"/>
          <c:yMode val="edge"/>
          <c:x val="0.46876006124234482"/>
          <c:y val="4.2083333333333355E-2"/>
          <c:w val="0.5180354330708661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50000"/>
                  </a:schemeClr>
                </a:solidFill>
                <a:latin typeface="Aptos" panose="020B0004020202020204" pitchFamily="34" charset="0"/>
              </a:rPr>
              <a:t>Budget vs Actual Expense</a:t>
            </a:r>
          </a:p>
        </c:rich>
      </c:tx>
      <c:layout>
        <c:manualLayout>
          <c:xMode val="edge"/>
          <c:yMode val="edge"/>
          <c:x val="3.8429764863462869E-2"/>
          <c:y val="2.6891685709097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Analysis!$F$28</c:f>
              <c:strCache>
                <c:ptCount val="1"/>
                <c:pt idx="0">
                  <c:v>Actual</c:v>
                </c:pt>
              </c:strCache>
            </c:strRef>
          </c:tx>
          <c:spPr>
            <a:solidFill>
              <a:schemeClr val="accent5"/>
            </a:solidFill>
            <a:ln>
              <a:noFill/>
            </a:ln>
            <a:effectLst/>
          </c:spPr>
          <c:invertIfNegative val="0"/>
          <c:cat>
            <c:strRef>
              <c:f>Analysis!$E$29:$E$40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Analysis!$F$29:$F$40</c:f>
              <c:numCache>
                <c:formatCode>General</c:formatCode>
                <c:ptCount val="12"/>
                <c:pt idx="0">
                  <c:v>7483</c:v>
                </c:pt>
                <c:pt idx="1">
                  <c:v>4607</c:v>
                </c:pt>
                <c:pt idx="2">
                  <c:v>5747</c:v>
                </c:pt>
                <c:pt idx="3">
                  <c:v>4627</c:v>
                </c:pt>
                <c:pt idx="4">
                  <c:v>4528</c:v>
                </c:pt>
                <c:pt idx="5">
                  <c:v>5744</c:v>
                </c:pt>
                <c:pt idx="6">
                  <c:v>6707</c:v>
                </c:pt>
                <c:pt idx="7">
                  <c:v>4591</c:v>
                </c:pt>
                <c:pt idx="8">
                  <c:v>5003</c:v>
                </c:pt>
                <c:pt idx="9">
                  <c:v>4794</c:v>
                </c:pt>
                <c:pt idx="10">
                  <c:v>5664</c:v>
                </c:pt>
                <c:pt idx="11">
                  <c:v>5785</c:v>
                </c:pt>
              </c:numCache>
            </c:numRef>
          </c:val>
          <c:extLst>
            <c:ext xmlns:c16="http://schemas.microsoft.com/office/drawing/2014/chart" uri="{C3380CC4-5D6E-409C-BE32-E72D297353CC}">
              <c16:uniqueId val="{00000000-0FFD-441D-906C-7F07E5701E7D}"/>
            </c:ext>
          </c:extLst>
        </c:ser>
        <c:ser>
          <c:idx val="1"/>
          <c:order val="1"/>
          <c:tx>
            <c:strRef>
              <c:f>Analysis!$G$28</c:f>
              <c:strCache>
                <c:ptCount val="1"/>
                <c:pt idx="0">
                  <c:v>Budget</c:v>
                </c:pt>
              </c:strCache>
            </c:strRef>
          </c:tx>
          <c:spPr>
            <a:noFill/>
            <a:ln w="25400">
              <a:solidFill>
                <a:schemeClr val="accent2"/>
              </a:solidFill>
            </a:ln>
            <a:effectLst/>
          </c:spPr>
          <c:invertIfNegative val="0"/>
          <c:cat>
            <c:strRef>
              <c:f>Analysis!$E$29:$E$40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Analysis!$G$29:$G$40</c:f>
              <c:numCache>
                <c:formatCode>General</c:formatCode>
                <c:ptCount val="12"/>
                <c:pt idx="0">
                  <c:v>7727</c:v>
                </c:pt>
                <c:pt idx="1">
                  <c:v>4852</c:v>
                </c:pt>
                <c:pt idx="2">
                  <c:v>6102</c:v>
                </c:pt>
                <c:pt idx="3">
                  <c:v>4797</c:v>
                </c:pt>
                <c:pt idx="4">
                  <c:v>4887</c:v>
                </c:pt>
                <c:pt idx="5">
                  <c:v>5862</c:v>
                </c:pt>
                <c:pt idx="6">
                  <c:v>6697</c:v>
                </c:pt>
                <c:pt idx="7">
                  <c:v>4967</c:v>
                </c:pt>
                <c:pt idx="8">
                  <c:v>4852</c:v>
                </c:pt>
                <c:pt idx="9">
                  <c:v>5182</c:v>
                </c:pt>
                <c:pt idx="10">
                  <c:v>5912</c:v>
                </c:pt>
                <c:pt idx="11">
                  <c:v>6432</c:v>
                </c:pt>
              </c:numCache>
            </c:numRef>
          </c:val>
          <c:extLst>
            <c:ext xmlns:c16="http://schemas.microsoft.com/office/drawing/2014/chart" uri="{C3380CC4-5D6E-409C-BE32-E72D297353CC}">
              <c16:uniqueId val="{00000001-0FFD-441D-906C-7F07E5701E7D}"/>
            </c:ext>
          </c:extLst>
        </c:ser>
        <c:dLbls>
          <c:showLegendKey val="0"/>
          <c:showVal val="0"/>
          <c:showCatName val="0"/>
          <c:showSerName val="0"/>
          <c:showPercent val="0"/>
          <c:showBubbleSize val="0"/>
        </c:dLbls>
        <c:gapWidth val="80"/>
        <c:overlap val="100"/>
        <c:axId val="1241133552"/>
        <c:axId val="822199504"/>
      </c:barChart>
      <c:catAx>
        <c:axId val="12411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99504"/>
        <c:crosses val="autoZero"/>
        <c:auto val="1"/>
        <c:lblAlgn val="ctr"/>
        <c:lblOffset val="100"/>
        <c:noMultiLvlLbl val="0"/>
      </c:catAx>
      <c:valAx>
        <c:axId val="822199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panose="020B0004020202020204" pitchFamily="34" charset="0"/>
                  </a:rPr>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33552"/>
        <c:crosses val="autoZero"/>
        <c:crossBetween val="between"/>
      </c:valAx>
      <c:spPr>
        <a:noFill/>
        <a:ln>
          <a:noFill/>
        </a:ln>
        <a:effectLst/>
      </c:spPr>
    </c:plotArea>
    <c:legend>
      <c:legendPos val="t"/>
      <c:layout>
        <c:manualLayout>
          <c:xMode val="edge"/>
          <c:yMode val="edge"/>
          <c:x val="0.73395407985506245"/>
          <c:y val="3.3710114065930441E-2"/>
          <c:w val="0.21349054266446782"/>
          <c:h val="6.3174296609150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r>
              <a:rPr lang="en-US" sz="1400" b="1" i="0" u="none" strike="noStrike" kern="1200" spc="0" baseline="0">
                <a:solidFill>
                  <a:schemeClr val="accent1">
                    <a:lumMod val="50000"/>
                  </a:schemeClr>
                </a:solidFill>
                <a:latin typeface="Aptos" panose="020B0004020202020204" pitchFamily="34" charset="0"/>
                <a:ea typeface="+mn-ea"/>
                <a:cs typeface="+mn-cs"/>
              </a:rPr>
              <a:t>Top 5 Expenses Categories</a:t>
            </a:r>
          </a:p>
        </c:rich>
      </c:tx>
      <c:layout>
        <c:manualLayout>
          <c:xMode val="edge"/>
          <c:yMode val="edge"/>
          <c:x val="3.5555555555555556E-2"/>
          <c:y val="2.264492753623188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Analysis!$K$6</c:f>
              <c:strCache>
                <c:ptCount val="1"/>
                <c:pt idx="0">
                  <c:v>Chart_Top 5</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Analysis!$J$7:$J$19</c:f>
              <c:strCache>
                <c:ptCount val="13"/>
                <c:pt idx="0">
                  <c:v>Housing</c:v>
                </c:pt>
                <c:pt idx="1">
                  <c:v>Groceries</c:v>
                </c:pt>
                <c:pt idx="2">
                  <c:v>Healthcare</c:v>
                </c:pt>
                <c:pt idx="3">
                  <c:v>Utilities</c:v>
                </c:pt>
                <c:pt idx="4">
                  <c:v>Travel</c:v>
                </c:pt>
                <c:pt idx="5">
                  <c:v>Transportation</c:v>
                </c:pt>
                <c:pt idx="6">
                  <c:v>Miscellaneous</c:v>
                </c:pt>
                <c:pt idx="7">
                  <c:v>Dining</c:v>
                </c:pt>
                <c:pt idx="8">
                  <c:v>Home Goods</c:v>
                </c:pt>
                <c:pt idx="9">
                  <c:v>Emergency Fund</c:v>
                </c:pt>
                <c:pt idx="10">
                  <c:v>Clothing</c:v>
                </c:pt>
                <c:pt idx="11">
                  <c:v>Personal Care</c:v>
                </c:pt>
                <c:pt idx="12">
                  <c:v>Entertainment</c:v>
                </c:pt>
              </c:strCache>
            </c:strRef>
          </c:cat>
          <c:val>
            <c:numRef>
              <c:f>Analysis!$K$7:$K$19</c:f>
              <c:numCache>
                <c:formatCode>General</c:formatCode>
                <c:ptCount val="13"/>
                <c:pt idx="0">
                  <c:v>34544</c:v>
                </c:pt>
                <c:pt idx="1">
                  <c:v>7980</c:v>
                </c:pt>
                <c:pt idx="2">
                  <c:v>3822</c:v>
                </c:pt>
                <c:pt idx="3">
                  <c:v>3796</c:v>
                </c:pt>
                <c:pt idx="4">
                  <c:v>3410</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5D49-4063-A166-87040BEF455F}"/>
            </c:ext>
          </c:extLst>
        </c:ser>
        <c:ser>
          <c:idx val="1"/>
          <c:order val="1"/>
          <c:tx>
            <c:strRef>
              <c:f>Analysis!$L$6</c:f>
              <c:strCache>
                <c:ptCount val="1"/>
                <c:pt idx="0">
                  <c:v>Chart_Others</c:v>
                </c:pt>
              </c:strCache>
            </c:strRef>
          </c:tx>
          <c:spPr>
            <a:solidFill>
              <a:schemeClr val="bg1">
                <a:lumMod val="75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Analysis!$J$7:$J$19</c:f>
              <c:strCache>
                <c:ptCount val="13"/>
                <c:pt idx="0">
                  <c:v>Housing</c:v>
                </c:pt>
                <c:pt idx="1">
                  <c:v>Groceries</c:v>
                </c:pt>
                <c:pt idx="2">
                  <c:v>Healthcare</c:v>
                </c:pt>
                <c:pt idx="3">
                  <c:v>Utilities</c:v>
                </c:pt>
                <c:pt idx="4">
                  <c:v>Travel</c:v>
                </c:pt>
                <c:pt idx="5">
                  <c:v>Transportation</c:v>
                </c:pt>
                <c:pt idx="6">
                  <c:v>Miscellaneous</c:v>
                </c:pt>
                <c:pt idx="7">
                  <c:v>Dining</c:v>
                </c:pt>
                <c:pt idx="8">
                  <c:v>Home Goods</c:v>
                </c:pt>
                <c:pt idx="9">
                  <c:v>Emergency Fund</c:v>
                </c:pt>
                <c:pt idx="10">
                  <c:v>Clothing</c:v>
                </c:pt>
                <c:pt idx="11">
                  <c:v>Personal Care</c:v>
                </c:pt>
                <c:pt idx="12">
                  <c:v>Entertainment</c:v>
                </c:pt>
              </c:strCache>
            </c:strRef>
          </c:cat>
          <c:val>
            <c:numRef>
              <c:f>Analysis!$L$7:$L$19</c:f>
              <c:numCache>
                <c:formatCode>General</c:formatCode>
                <c:ptCount val="13"/>
                <c:pt idx="0">
                  <c:v>#N/A</c:v>
                </c:pt>
                <c:pt idx="1">
                  <c:v>#N/A</c:v>
                </c:pt>
                <c:pt idx="2">
                  <c:v>#N/A</c:v>
                </c:pt>
                <c:pt idx="3">
                  <c:v>#N/A</c:v>
                </c:pt>
                <c:pt idx="4">
                  <c:v>#N/A</c:v>
                </c:pt>
                <c:pt idx="5">
                  <c:v>3279</c:v>
                </c:pt>
                <c:pt idx="6">
                  <c:v>1830</c:v>
                </c:pt>
                <c:pt idx="7">
                  <c:v>1765</c:v>
                </c:pt>
                <c:pt idx="8">
                  <c:v>1374</c:v>
                </c:pt>
                <c:pt idx="9">
                  <c:v>1220</c:v>
                </c:pt>
                <c:pt idx="10">
                  <c:v>968</c:v>
                </c:pt>
                <c:pt idx="11">
                  <c:v>836</c:v>
                </c:pt>
                <c:pt idx="12">
                  <c:v>456</c:v>
                </c:pt>
              </c:numCache>
            </c:numRef>
          </c:val>
          <c:extLst>
            <c:ext xmlns:c16="http://schemas.microsoft.com/office/drawing/2014/chart" uri="{C3380CC4-5D6E-409C-BE32-E72D297353CC}">
              <c16:uniqueId val="{00000001-5D49-4063-A166-87040BEF455F}"/>
            </c:ext>
          </c:extLst>
        </c:ser>
        <c:dLbls>
          <c:dLblPos val="outEnd"/>
          <c:showLegendKey val="0"/>
          <c:showVal val="1"/>
          <c:showCatName val="0"/>
          <c:showSerName val="0"/>
          <c:showPercent val="0"/>
          <c:showBubbleSize val="0"/>
        </c:dLbls>
        <c:gapWidth val="182"/>
        <c:overlap val="100"/>
        <c:axId val="628154080"/>
        <c:axId val="629294640"/>
      </c:barChart>
      <c:catAx>
        <c:axId val="628154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94640"/>
        <c:crosses val="autoZero"/>
        <c:auto val="1"/>
        <c:lblAlgn val="ctr"/>
        <c:lblOffset val="100"/>
        <c:noMultiLvlLbl val="0"/>
      </c:catAx>
      <c:valAx>
        <c:axId val="629294640"/>
        <c:scaling>
          <c:orientation val="minMax"/>
        </c:scaling>
        <c:delete val="1"/>
        <c:axPos val="t"/>
        <c:numFmt formatCode="General" sourceLinked="1"/>
        <c:majorTickMark val="none"/>
        <c:minorTickMark val="none"/>
        <c:tickLblPos val="nextTo"/>
        <c:crossAx val="6281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r>
              <a:rPr lang="en-US" sz="1400" b="1" i="0" u="none" strike="noStrike" kern="1200" spc="0" baseline="0">
                <a:solidFill>
                  <a:schemeClr val="accent1">
                    <a:lumMod val="50000"/>
                  </a:schemeClr>
                </a:solidFill>
                <a:latin typeface="Aptos" panose="020B0004020202020204" pitchFamily="34" charset="0"/>
                <a:ea typeface="+mn-ea"/>
                <a:cs typeface="+mn-cs"/>
              </a:rPr>
              <a:t>Income Trend by Month</a:t>
            </a:r>
          </a:p>
        </c:rich>
      </c:tx>
      <c:layout>
        <c:manualLayout>
          <c:xMode val="edge"/>
          <c:yMode val="edge"/>
          <c:x val="2.8937445319335117E-2"/>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Analysis!$F$71</c:f>
              <c:strCache>
                <c:ptCount val="1"/>
                <c:pt idx="0">
                  <c:v>Actual</c:v>
                </c:pt>
              </c:strCache>
            </c:strRef>
          </c:tx>
          <c:spPr>
            <a:solidFill>
              <a:schemeClr val="accent5"/>
            </a:solidFill>
            <a:ln>
              <a:noFill/>
            </a:ln>
            <a:effectLst/>
          </c:spPr>
          <c:invertIfNegative val="0"/>
          <c:cat>
            <c:strRef>
              <c:f>Analysis!$E$72:$E$83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Analysis!$F$72:$F$83</c:f>
              <c:numCache>
                <c:formatCode>General</c:formatCode>
                <c:ptCount val="12"/>
                <c:pt idx="0">
                  <c:v>9885</c:v>
                </c:pt>
                <c:pt idx="1">
                  <c:v>6545</c:v>
                </c:pt>
                <c:pt idx="2">
                  <c:v>6540</c:v>
                </c:pt>
                <c:pt idx="3">
                  <c:v>6840</c:v>
                </c:pt>
                <c:pt idx="4">
                  <c:v>6535</c:v>
                </c:pt>
                <c:pt idx="5">
                  <c:v>6540</c:v>
                </c:pt>
                <c:pt idx="6">
                  <c:v>6610</c:v>
                </c:pt>
                <c:pt idx="7">
                  <c:v>9790</c:v>
                </c:pt>
                <c:pt idx="8">
                  <c:v>6540</c:v>
                </c:pt>
                <c:pt idx="9">
                  <c:v>6540</c:v>
                </c:pt>
                <c:pt idx="10">
                  <c:v>6540</c:v>
                </c:pt>
                <c:pt idx="11">
                  <c:v>6530</c:v>
                </c:pt>
              </c:numCache>
            </c:numRef>
          </c:val>
          <c:extLst>
            <c:ext xmlns:c16="http://schemas.microsoft.com/office/drawing/2014/chart" uri="{C3380CC4-5D6E-409C-BE32-E72D297353CC}">
              <c16:uniqueId val="{00000000-992F-451D-B03C-0E59DDBEA38A}"/>
            </c:ext>
          </c:extLst>
        </c:ser>
        <c:ser>
          <c:idx val="1"/>
          <c:order val="1"/>
          <c:tx>
            <c:strRef>
              <c:f>Analysis!$G$71</c:f>
              <c:strCache>
                <c:ptCount val="1"/>
                <c:pt idx="0">
                  <c:v>Budget</c:v>
                </c:pt>
              </c:strCache>
            </c:strRef>
          </c:tx>
          <c:spPr>
            <a:noFill/>
            <a:ln w="34925">
              <a:solidFill>
                <a:schemeClr val="accent2"/>
              </a:solidFill>
            </a:ln>
            <a:effectLst/>
          </c:spPr>
          <c:invertIfNegative val="0"/>
          <c:dPt>
            <c:idx val="8"/>
            <c:invertIfNegative val="0"/>
            <c:bubble3D val="0"/>
            <c:spPr>
              <a:noFill/>
              <a:ln w="25400">
                <a:solidFill>
                  <a:schemeClr val="accent2"/>
                </a:solidFill>
              </a:ln>
              <a:effectLst/>
            </c:spPr>
            <c:extLst>
              <c:ext xmlns:c16="http://schemas.microsoft.com/office/drawing/2014/chart" uri="{C3380CC4-5D6E-409C-BE32-E72D297353CC}">
                <c16:uniqueId val="{00000002-992F-451D-B03C-0E59DDBEA38A}"/>
              </c:ext>
            </c:extLst>
          </c:dPt>
          <c:cat>
            <c:strRef>
              <c:f>Analysis!$E$72:$E$83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Analysis!$G$72:$G$83</c:f>
              <c:numCache>
                <c:formatCode>General</c:formatCode>
                <c:ptCount val="12"/>
                <c:pt idx="0">
                  <c:v>6660</c:v>
                </c:pt>
                <c:pt idx="1">
                  <c:v>6540</c:v>
                </c:pt>
                <c:pt idx="2">
                  <c:v>9790</c:v>
                </c:pt>
                <c:pt idx="3">
                  <c:v>6790</c:v>
                </c:pt>
                <c:pt idx="4">
                  <c:v>6540</c:v>
                </c:pt>
                <c:pt idx="5">
                  <c:v>6540</c:v>
                </c:pt>
                <c:pt idx="6">
                  <c:v>6660</c:v>
                </c:pt>
                <c:pt idx="7">
                  <c:v>6540</c:v>
                </c:pt>
                <c:pt idx="8">
                  <c:v>9790</c:v>
                </c:pt>
                <c:pt idx="9">
                  <c:v>6540</c:v>
                </c:pt>
                <c:pt idx="10">
                  <c:v>6540</c:v>
                </c:pt>
                <c:pt idx="11">
                  <c:v>6540</c:v>
                </c:pt>
              </c:numCache>
            </c:numRef>
          </c:val>
          <c:extLst>
            <c:ext xmlns:c16="http://schemas.microsoft.com/office/drawing/2014/chart" uri="{C3380CC4-5D6E-409C-BE32-E72D297353CC}">
              <c16:uniqueId val="{00000003-992F-451D-B03C-0E59DDBEA38A}"/>
            </c:ext>
          </c:extLst>
        </c:ser>
        <c:dLbls>
          <c:showLegendKey val="0"/>
          <c:showVal val="0"/>
          <c:showCatName val="0"/>
          <c:showSerName val="0"/>
          <c:showPercent val="0"/>
          <c:showBubbleSize val="0"/>
        </c:dLbls>
        <c:gapWidth val="80"/>
        <c:overlap val="100"/>
        <c:axId val="2029790191"/>
        <c:axId val="264719599"/>
      </c:barChart>
      <c:catAx>
        <c:axId val="202979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19599"/>
        <c:crosses val="autoZero"/>
        <c:auto val="1"/>
        <c:lblAlgn val="ctr"/>
        <c:lblOffset val="100"/>
        <c:noMultiLvlLbl val="0"/>
      </c:catAx>
      <c:valAx>
        <c:axId val="264719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panose="020B0004020202020204" pitchFamily="34" charset="0"/>
                  </a:rPr>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90191"/>
        <c:crosses val="autoZero"/>
        <c:crossBetween val="between"/>
      </c:valAx>
      <c:spPr>
        <a:noFill/>
        <a:ln>
          <a:noFill/>
        </a:ln>
        <a:effectLst/>
      </c:spPr>
    </c:plotArea>
    <c:legend>
      <c:legendPos val="t"/>
      <c:layout>
        <c:manualLayout>
          <c:xMode val="edge"/>
          <c:yMode val="edge"/>
          <c:x val="0.69334448818897643"/>
          <c:y val="2.356481481481483E-2"/>
          <c:w val="0.229977690288713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[Household_Budget_vs_Actual_Dashboard.xlsx]Analysis!PT_IncomeBreakdown</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ptos" panose="020B0004020202020204" pitchFamily="34" charset="0"/>
              </a:rPr>
              <a:t>Income</a:t>
            </a:r>
            <a:r>
              <a:rPr lang="en-US" b="1" baseline="0">
                <a:latin typeface="Aptos" panose="020B0004020202020204" pitchFamily="34" charset="0"/>
              </a:rPr>
              <a:t> Source Breakdown</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9999999999999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lumMod val="75000"/>
            </a:schemeClr>
          </a:solidFill>
          <a:ln w="19050">
            <a:solidFill>
              <a:schemeClr val="lt1"/>
            </a:solidFill>
          </a:ln>
          <a:effectLst/>
        </c:spPr>
        <c:dLbl>
          <c:idx val="0"/>
          <c:layout>
            <c:manualLayout>
              <c:x val="-0.13055555555555556"/>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02060"/>
          </a:solidFill>
          <a:ln w="19050">
            <a:solidFill>
              <a:schemeClr val="lt1"/>
            </a:solidFill>
          </a:ln>
          <a:effectLst/>
        </c:spPr>
        <c:dLbl>
          <c:idx val="0"/>
          <c:layout>
            <c:manualLayout>
              <c:x val="-0.133333333333333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333333333333333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0.133333333333333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3333333333333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3055555555555556"/>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9999999999999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0.13333333333333333"/>
              <c:y val="6.944444444444444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333333333333333"/>
              <c:y val="-2.314814814814814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3055555555555556"/>
              <c:y val="-0.1157407407407407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999999999999991"/>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Analysis!$B$92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504A-49B6-A742-EC7D1E5BBF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4A-49B6-A742-EC7D1E5BBFD4}"/>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504A-49B6-A742-EC7D1E5BBFD4}"/>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504A-49B6-A742-EC7D1E5BBFD4}"/>
              </c:ext>
            </c:extLst>
          </c:dPt>
          <c:dLbls>
            <c:dLbl>
              <c:idx val="0"/>
              <c:layout>
                <c:manualLayout>
                  <c:x val="-0.13333333333333333"/>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4A-49B6-A742-EC7D1E5BBFD4}"/>
                </c:ext>
              </c:extLst>
            </c:dLbl>
            <c:dLbl>
              <c:idx val="1"/>
              <c:layout>
                <c:manualLayout>
                  <c:x val="-0.13333333333333333"/>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4A-49B6-A742-EC7D1E5BBFD4}"/>
                </c:ext>
              </c:extLst>
            </c:dLbl>
            <c:dLbl>
              <c:idx val="2"/>
              <c:layout>
                <c:manualLayout>
                  <c:x val="-0.13055555555555556"/>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4A-49B6-A742-EC7D1E5BBFD4}"/>
                </c:ext>
              </c:extLst>
            </c:dLbl>
            <c:dLbl>
              <c:idx val="3"/>
              <c:layout>
                <c:manualLayout>
                  <c:x val="0.14999999999999991"/>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04A-49B6-A742-EC7D1E5BBFD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Analysis!$A$93:$A$96</c:f>
              <c:strCache>
                <c:ptCount val="4"/>
                <c:pt idx="0">
                  <c:v>Bonus</c:v>
                </c:pt>
                <c:pt idx="1">
                  <c:v>Dividend</c:v>
                </c:pt>
                <c:pt idx="2">
                  <c:v>Interest</c:v>
                </c:pt>
                <c:pt idx="3">
                  <c:v>Salary</c:v>
                </c:pt>
              </c:strCache>
            </c:strRef>
          </c:cat>
          <c:val>
            <c:numRef>
              <c:f>Analysis!$B$93:$B$96</c:f>
              <c:numCache>
                <c:formatCode>General</c:formatCode>
                <c:ptCount val="4"/>
                <c:pt idx="0">
                  <c:v>1270</c:v>
                </c:pt>
                <c:pt idx="1">
                  <c:v>175</c:v>
                </c:pt>
                <c:pt idx="2">
                  <c:v>460</c:v>
                </c:pt>
                <c:pt idx="3">
                  <c:v>169000</c:v>
                </c:pt>
              </c:numCache>
            </c:numRef>
          </c:val>
          <c:extLst>
            <c:ext xmlns:c16="http://schemas.microsoft.com/office/drawing/2014/chart" uri="{C3380CC4-5D6E-409C-BE32-E72D297353CC}">
              <c16:uniqueId val="{00000008-504A-49B6-A742-EC7D1E5BBFD4}"/>
            </c:ext>
          </c:extLst>
        </c:ser>
        <c:dLbls>
          <c:showLegendKey val="0"/>
          <c:showVal val="1"/>
          <c:showCatName val="0"/>
          <c:showSerName val="0"/>
          <c:showPercent val="0"/>
          <c:showBubbleSize val="0"/>
          <c:showLeaderLines val="1"/>
        </c:dLbls>
        <c:firstSliceAng val="27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ptos" panose="020B0004020202020204" pitchFamily="34" charset="0"/>
              </a:rPr>
              <a:t>Budget Variance by Category</a:t>
            </a:r>
          </a:p>
        </c:rich>
      </c:tx>
      <c:layout>
        <c:manualLayout>
          <c:xMode val="edge"/>
          <c:yMode val="edge"/>
          <c:x val="4.7024056486066397E-2"/>
          <c:y val="3.0275507114744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Analysis!$H$105</c:f>
              <c:strCache>
                <c:ptCount val="1"/>
                <c:pt idx="0">
                  <c:v>Variance</c:v>
                </c:pt>
              </c:strCache>
            </c:strRef>
          </c:tx>
          <c:spPr>
            <a:solidFill>
              <a:srgbClr val="ED7D31"/>
            </a:solidFill>
            <a:ln>
              <a:noFill/>
            </a:ln>
            <a:effectLst/>
          </c:spPr>
          <c:invertIfNegative val="1"/>
          <c:cat>
            <c:strRef>
              <c:f>Analysis!$E$106:$E$120</c:f>
              <c:strCache>
                <c:ptCount val="15"/>
                <c:pt idx="0">
                  <c:v>Clothing</c:v>
                </c:pt>
                <c:pt idx="1">
                  <c:v>Dining</c:v>
                </c:pt>
                <c:pt idx="2">
                  <c:v>Emergency Fund</c:v>
                </c:pt>
                <c:pt idx="3">
                  <c:v>Entertainment</c:v>
                </c:pt>
                <c:pt idx="4">
                  <c:v>Fixed</c:v>
                </c:pt>
                <c:pt idx="5">
                  <c:v>Groceries</c:v>
                </c:pt>
                <c:pt idx="6">
                  <c:v>Healthcare</c:v>
                </c:pt>
                <c:pt idx="7">
                  <c:v>Housing</c:v>
                </c:pt>
                <c:pt idx="8">
                  <c:v>Miscellaneous</c:v>
                </c:pt>
                <c:pt idx="9">
                  <c:v>Personal Care</c:v>
                </c:pt>
                <c:pt idx="10">
                  <c:v>Transportation</c:v>
                </c:pt>
                <c:pt idx="11">
                  <c:v>Travel</c:v>
                </c:pt>
                <c:pt idx="12">
                  <c:v>Utilities</c:v>
                </c:pt>
                <c:pt idx="13">
                  <c:v>Variable</c:v>
                </c:pt>
                <c:pt idx="14">
                  <c:v>Home Goods</c:v>
                </c:pt>
              </c:strCache>
            </c:strRef>
          </c:cat>
          <c:val>
            <c:numRef>
              <c:f>Analysis!$H$106:$H$120</c:f>
              <c:numCache>
                <c:formatCode>"$"#,##0</c:formatCode>
                <c:ptCount val="15"/>
                <c:pt idx="0">
                  <c:v>-282</c:v>
                </c:pt>
                <c:pt idx="1">
                  <c:v>-35</c:v>
                </c:pt>
                <c:pt idx="2">
                  <c:v>-2380</c:v>
                </c:pt>
                <c:pt idx="3">
                  <c:v>-24</c:v>
                </c:pt>
                <c:pt idx="4">
                  <c:v>0</c:v>
                </c:pt>
                <c:pt idx="5">
                  <c:v>0</c:v>
                </c:pt>
                <c:pt idx="6">
                  <c:v>342</c:v>
                </c:pt>
                <c:pt idx="7">
                  <c:v>0</c:v>
                </c:pt>
                <c:pt idx="8">
                  <c:v>30</c:v>
                </c:pt>
                <c:pt idx="9">
                  <c:v>-164</c:v>
                </c:pt>
                <c:pt idx="10">
                  <c:v>-61</c:v>
                </c:pt>
                <c:pt idx="11">
                  <c:v>-190</c:v>
                </c:pt>
                <c:pt idx="12">
                  <c:v>1</c:v>
                </c:pt>
                <c:pt idx="13">
                  <c:v>-35</c:v>
                </c:pt>
                <c:pt idx="14">
                  <c:v>-226</c:v>
                </c:pt>
              </c:numCache>
            </c:numRef>
          </c:val>
          <c:extLst>
            <c:ext xmlns:c14="http://schemas.microsoft.com/office/drawing/2007/8/2/chart" uri="{6F2FDCE9-48DA-4B69-8628-5D25D57E5C99}">
              <c14:invertSolidFillFmt>
                <c14:spPr xmlns:c14="http://schemas.microsoft.com/office/drawing/2007/8/2/chart">
                  <a:solidFill>
                    <a:srgbClr val="70AD47"/>
                  </a:solidFill>
                  <a:ln>
                    <a:noFill/>
                  </a:ln>
                  <a:effectLst/>
                </c14:spPr>
              </c14:invertSolidFillFmt>
            </c:ext>
            <c:ext xmlns:c16="http://schemas.microsoft.com/office/drawing/2014/chart" uri="{C3380CC4-5D6E-409C-BE32-E72D297353CC}">
              <c16:uniqueId val="{00000000-F323-4DC0-9CBA-126272C35D7C}"/>
            </c:ext>
          </c:extLst>
        </c:ser>
        <c:dLbls>
          <c:showLegendKey val="0"/>
          <c:showVal val="0"/>
          <c:showCatName val="0"/>
          <c:showSerName val="0"/>
          <c:showPercent val="0"/>
          <c:showBubbleSize val="0"/>
        </c:dLbls>
        <c:gapWidth val="182"/>
        <c:axId val="1700654511"/>
        <c:axId val="1823362639"/>
      </c:barChart>
      <c:catAx>
        <c:axId val="170065451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823362639"/>
        <c:crosses val="autoZero"/>
        <c:auto val="1"/>
        <c:lblAlgn val="ctr"/>
        <c:lblOffset val="100"/>
        <c:noMultiLvlLbl val="0"/>
      </c:catAx>
      <c:valAx>
        <c:axId val="18233626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Amount</a:t>
                </a:r>
                <a:r>
                  <a:rPr lang="en-US" b="1" baseline="0">
                    <a:latin typeface="Aptos" panose="020B0004020202020204" pitchFamily="34" charset="0"/>
                  </a:rPr>
                  <a:t> ($)</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06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8.svg"/><Relationship Id="rId7" Type="http://schemas.openxmlformats.org/officeDocument/2006/relationships/chart" Target="../charts/chart5.xml"/><Relationship Id="rId2"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289560</xdr:colOff>
      <xdr:row>0</xdr:row>
      <xdr:rowOff>76200</xdr:rowOff>
    </xdr:from>
    <xdr:to>
      <xdr:col>0</xdr:col>
      <xdr:colOff>1013460</xdr:colOff>
      <xdr:row>0</xdr:row>
      <xdr:rowOff>800100</xdr:rowOff>
    </xdr:to>
    <xdr:pic>
      <xdr:nvPicPr>
        <xdr:cNvPr id="3" name="Graphic 2" descr="Document with solid fill">
          <a:extLst>
            <a:ext uri="{FF2B5EF4-FFF2-40B4-BE49-F238E27FC236}">
              <a16:creationId xmlns:a16="http://schemas.microsoft.com/office/drawing/2014/main" id="{96BA9392-60D5-5DBD-AFB7-0987D0A550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 y="76200"/>
          <a:ext cx="7239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0</xdr:col>
      <xdr:colOff>1219200</xdr:colOff>
      <xdr:row>1</xdr:row>
      <xdr:rowOff>38100</xdr:rowOff>
    </xdr:to>
    <xdr:pic>
      <xdr:nvPicPr>
        <xdr:cNvPr id="5" name="Graphic 4" descr="Bullseye with solid fill">
          <a:extLst>
            <a:ext uri="{FF2B5EF4-FFF2-40B4-BE49-F238E27FC236}">
              <a16:creationId xmlns:a16="http://schemas.microsoft.com/office/drawing/2014/main" id="{62F00496-AE88-59CA-8354-5E3655681D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91440</xdr:colOff>
      <xdr:row>0</xdr:row>
      <xdr:rowOff>114300</xdr:rowOff>
    </xdr:from>
    <xdr:to>
      <xdr:col>0</xdr:col>
      <xdr:colOff>640080</xdr:colOff>
      <xdr:row>0</xdr:row>
      <xdr:rowOff>556260</xdr:rowOff>
    </xdr:to>
    <xdr:pic>
      <xdr:nvPicPr>
        <xdr:cNvPr id="2" name="Graphic 1" descr="Dollar with solid fill">
          <a:extLst>
            <a:ext uri="{FF2B5EF4-FFF2-40B4-BE49-F238E27FC236}">
              <a16:creationId xmlns:a16="http://schemas.microsoft.com/office/drawing/2014/main" id="{28260AAB-81C7-48C8-A431-333E133370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440" y="114300"/>
          <a:ext cx="548640" cy="4419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12</xdr:row>
      <xdr:rowOff>114300</xdr:rowOff>
    </xdr:from>
    <xdr:to>
      <xdr:col>8</xdr:col>
      <xdr:colOff>1114425</xdr:colOff>
      <xdr:row>31</xdr:row>
      <xdr:rowOff>59055</xdr:rowOff>
    </xdr:to>
    <xdr:graphicFrame macro="">
      <xdr:nvGraphicFramePr>
        <xdr:cNvPr id="38" name="Chart 37">
          <a:extLst>
            <a:ext uri="{FF2B5EF4-FFF2-40B4-BE49-F238E27FC236}">
              <a16:creationId xmlns:a16="http://schemas.microsoft.com/office/drawing/2014/main" id="{CD617406-3475-4855-8FDA-73F747E22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461010</xdr:colOff>
      <xdr:row>7</xdr:row>
      <xdr:rowOff>167640</xdr:rowOff>
    </xdr:from>
    <xdr:to>
      <xdr:col>2</xdr:col>
      <xdr:colOff>371475</xdr:colOff>
      <xdr:row>12</xdr:row>
      <xdr:rowOff>20955</xdr:rowOff>
    </xdr:to>
    <xdr:sp macro="" textlink="">
      <xdr:nvSpPr>
        <xdr:cNvPr id="2" name="Rectangle: Rounded Corners 1">
          <a:extLst>
            <a:ext uri="{FF2B5EF4-FFF2-40B4-BE49-F238E27FC236}">
              <a16:creationId xmlns:a16="http://schemas.microsoft.com/office/drawing/2014/main" id="{319EB3E9-EB3A-4FD5-A13F-8E3918AB7B32}"/>
            </a:ext>
          </a:extLst>
        </xdr:cNvPr>
        <xdr:cNvSpPr/>
      </xdr:nvSpPr>
      <xdr:spPr>
        <a:xfrm>
          <a:off x="461010" y="2167890"/>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33020</xdr:colOff>
      <xdr:row>7</xdr:row>
      <xdr:rowOff>152399</xdr:rowOff>
    </xdr:from>
    <xdr:to>
      <xdr:col>6</xdr:col>
      <xdr:colOff>76835</xdr:colOff>
      <xdr:row>12</xdr:row>
      <xdr:rowOff>5714</xdr:rowOff>
    </xdr:to>
    <xdr:sp macro="" textlink="">
      <xdr:nvSpPr>
        <xdr:cNvPr id="3" name="Rectangle: Rounded Corners 2">
          <a:extLst>
            <a:ext uri="{FF2B5EF4-FFF2-40B4-BE49-F238E27FC236}">
              <a16:creationId xmlns:a16="http://schemas.microsoft.com/office/drawing/2014/main" id="{ED014495-FDBD-41DF-9E0C-B5065F82B970}"/>
            </a:ext>
          </a:extLst>
        </xdr:cNvPr>
        <xdr:cNvSpPr/>
      </xdr:nvSpPr>
      <xdr:spPr>
        <a:xfrm>
          <a:off x="3404870" y="2152649"/>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646429</xdr:colOff>
      <xdr:row>7</xdr:row>
      <xdr:rowOff>167639</xdr:rowOff>
    </xdr:from>
    <xdr:to>
      <xdr:col>8</xdr:col>
      <xdr:colOff>166369</xdr:colOff>
      <xdr:row>12</xdr:row>
      <xdr:rowOff>20954</xdr:rowOff>
    </xdr:to>
    <xdr:sp macro="" textlink="">
      <xdr:nvSpPr>
        <xdr:cNvPr id="4" name="Rectangle: Rounded Corners 3">
          <a:extLst>
            <a:ext uri="{FF2B5EF4-FFF2-40B4-BE49-F238E27FC236}">
              <a16:creationId xmlns:a16="http://schemas.microsoft.com/office/drawing/2014/main" id="{9ACBD7FE-A0E7-41C3-8C03-4DD5B0D791FF}"/>
            </a:ext>
          </a:extLst>
        </xdr:cNvPr>
        <xdr:cNvSpPr/>
      </xdr:nvSpPr>
      <xdr:spPr>
        <a:xfrm>
          <a:off x="6351904" y="2167889"/>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700188</xdr:colOff>
      <xdr:row>7</xdr:row>
      <xdr:rowOff>160019</xdr:rowOff>
    </xdr:from>
    <xdr:to>
      <xdr:col>10</xdr:col>
      <xdr:colOff>839253</xdr:colOff>
      <xdr:row>12</xdr:row>
      <xdr:rowOff>13334</xdr:rowOff>
    </xdr:to>
    <xdr:sp macro="" textlink="">
      <xdr:nvSpPr>
        <xdr:cNvPr id="5" name="Rectangle: Rounded Corners 4">
          <a:extLst>
            <a:ext uri="{FF2B5EF4-FFF2-40B4-BE49-F238E27FC236}">
              <a16:creationId xmlns:a16="http://schemas.microsoft.com/office/drawing/2014/main" id="{81FCDD33-C91B-4961-920A-74E58E7EC106}"/>
            </a:ext>
          </a:extLst>
        </xdr:cNvPr>
        <xdr:cNvSpPr/>
      </xdr:nvSpPr>
      <xdr:spPr>
        <a:xfrm>
          <a:off x="9263163" y="2160269"/>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1003936</xdr:colOff>
      <xdr:row>8</xdr:row>
      <xdr:rowOff>53340</xdr:rowOff>
    </xdr:from>
    <xdr:to>
      <xdr:col>2</xdr:col>
      <xdr:colOff>365761</xdr:colOff>
      <xdr:row>10</xdr:row>
      <xdr:rowOff>57150</xdr:rowOff>
    </xdr:to>
    <xdr:sp macro="" textlink="Analysis!A152">
      <xdr:nvSpPr>
        <xdr:cNvPr id="6" name="TextBox 5">
          <a:extLst>
            <a:ext uri="{FF2B5EF4-FFF2-40B4-BE49-F238E27FC236}">
              <a16:creationId xmlns:a16="http://schemas.microsoft.com/office/drawing/2014/main" id="{8532DADF-7B08-4D7B-9CDB-E93B3F000436}"/>
            </a:ext>
          </a:extLst>
        </xdr:cNvPr>
        <xdr:cNvSpPr txBox="1"/>
      </xdr:nvSpPr>
      <xdr:spPr>
        <a:xfrm>
          <a:off x="1003936" y="2234565"/>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2EDAAF-9078-484A-AA73-D34A9BE093F5}" type="TxLink">
            <a:rPr lang="en-US" sz="2200" b="1" i="0" u="none" strike="noStrike">
              <a:solidFill>
                <a:schemeClr val="bg1"/>
              </a:solidFill>
              <a:latin typeface="Aptos Display" panose="020B0004020202020204" pitchFamily="34" charset="0"/>
              <a:ea typeface="Calibri"/>
              <a:cs typeface="Calibri"/>
            </a:rPr>
            <a:pPr algn="ctr"/>
            <a:t>$85,435</a:t>
          </a:fld>
          <a:endParaRPr lang="en-US" sz="2200" b="1">
            <a:solidFill>
              <a:schemeClr val="bg1"/>
            </a:solidFill>
            <a:latin typeface="Aptos Display" panose="020B0004020202020204" pitchFamily="34" charset="0"/>
          </a:endParaRPr>
        </a:p>
      </xdr:txBody>
    </xdr:sp>
    <xdr:clientData/>
  </xdr:twoCellAnchor>
  <xdr:twoCellAnchor>
    <xdr:from>
      <xdr:col>3</xdr:col>
      <xdr:colOff>690246</xdr:colOff>
      <xdr:row>9</xdr:row>
      <xdr:rowOff>140970</xdr:rowOff>
    </xdr:from>
    <xdr:to>
      <xdr:col>6</xdr:col>
      <xdr:colOff>185421</xdr:colOff>
      <xdr:row>11</xdr:row>
      <xdr:rowOff>144780</xdr:rowOff>
    </xdr:to>
    <xdr:sp macro="" textlink="">
      <xdr:nvSpPr>
        <xdr:cNvPr id="7" name="TextBox 6">
          <a:extLst>
            <a:ext uri="{FF2B5EF4-FFF2-40B4-BE49-F238E27FC236}">
              <a16:creationId xmlns:a16="http://schemas.microsoft.com/office/drawing/2014/main" id="{93570B75-7319-4FF7-815B-B58066B068B4}"/>
            </a:ext>
          </a:extLst>
        </xdr:cNvPr>
        <xdr:cNvSpPr txBox="1"/>
      </xdr:nvSpPr>
      <xdr:spPr>
        <a:xfrm>
          <a:off x="4062096" y="250317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solidFill>
              <a:latin typeface="Aptos" panose="020B0004020202020204" pitchFamily="34" charset="0"/>
              <a:ea typeface="+mn-ea"/>
              <a:cs typeface="+mn-cs"/>
            </a:rPr>
            <a:t>Total Expenses</a:t>
          </a:r>
        </a:p>
      </xdr:txBody>
    </xdr:sp>
    <xdr:clientData/>
  </xdr:twoCellAnchor>
  <xdr:twoCellAnchor>
    <xdr:from>
      <xdr:col>8</xdr:col>
      <xdr:colOff>1258987</xdr:colOff>
      <xdr:row>8</xdr:row>
      <xdr:rowOff>29422</xdr:rowOff>
    </xdr:from>
    <xdr:to>
      <xdr:col>10</xdr:col>
      <xdr:colOff>849412</xdr:colOff>
      <xdr:row>10</xdr:row>
      <xdr:rowOff>33232</xdr:rowOff>
    </xdr:to>
    <xdr:sp macro="" textlink="Analysis!D152">
      <xdr:nvSpPr>
        <xdr:cNvPr id="8" name="TextBox 7">
          <a:extLst>
            <a:ext uri="{FF2B5EF4-FFF2-40B4-BE49-F238E27FC236}">
              <a16:creationId xmlns:a16="http://schemas.microsoft.com/office/drawing/2014/main" id="{3700E9BB-3B93-45A1-9179-026BECCBABE5}"/>
            </a:ext>
          </a:extLst>
        </xdr:cNvPr>
        <xdr:cNvSpPr txBox="1"/>
      </xdr:nvSpPr>
      <xdr:spPr>
        <a:xfrm>
          <a:off x="9821962" y="2210647"/>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C1E86B-A74E-4CAE-BB5D-B0618289131D}" type="TxLink">
            <a:rPr lang="en-US" sz="2200" b="1" i="0" u="none" strike="noStrike">
              <a:solidFill>
                <a:schemeClr val="bg1"/>
              </a:solidFill>
              <a:latin typeface="Aptos Display" panose="020B0004020202020204" pitchFamily="34" charset="0"/>
              <a:ea typeface="Calibri"/>
              <a:cs typeface="Calibri"/>
            </a:rPr>
            <a:pPr marL="0" indent="0" algn="ctr"/>
            <a:t>$68,269</a:t>
          </a:fld>
          <a:endParaRPr lang="en-US" sz="2200" b="1" i="0" u="none" strike="noStrike">
            <a:solidFill>
              <a:schemeClr val="bg1"/>
            </a:solidFill>
            <a:latin typeface="Aptos Display" panose="020B0004020202020204" pitchFamily="34" charset="0"/>
            <a:ea typeface="Calibri"/>
            <a:cs typeface="Calibri"/>
          </a:endParaRPr>
        </a:p>
      </xdr:txBody>
    </xdr:sp>
    <xdr:clientData/>
  </xdr:twoCellAnchor>
  <xdr:twoCellAnchor>
    <xdr:from>
      <xdr:col>6</xdr:col>
      <xdr:colOff>1284604</xdr:colOff>
      <xdr:row>8</xdr:row>
      <xdr:rowOff>64770</xdr:rowOff>
    </xdr:from>
    <xdr:to>
      <xdr:col>8</xdr:col>
      <xdr:colOff>255904</xdr:colOff>
      <xdr:row>10</xdr:row>
      <xdr:rowOff>68580</xdr:rowOff>
    </xdr:to>
    <xdr:sp macro="" textlink="Analysis!C152">
      <xdr:nvSpPr>
        <xdr:cNvPr id="12" name="TextBox 11">
          <a:extLst>
            <a:ext uri="{FF2B5EF4-FFF2-40B4-BE49-F238E27FC236}">
              <a16:creationId xmlns:a16="http://schemas.microsoft.com/office/drawing/2014/main" id="{B067B80C-0BD5-4EBB-92EA-3D2C26A60619}"/>
            </a:ext>
          </a:extLst>
        </xdr:cNvPr>
        <xdr:cNvSpPr txBox="1"/>
      </xdr:nvSpPr>
      <xdr:spPr>
        <a:xfrm>
          <a:off x="6990079" y="2245995"/>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A54C00-6CA1-44C5-AAA0-8ECFADA9EAEA}" type="TxLink">
            <a:rPr lang="en-US" sz="2200" b="1" i="0" u="none" strike="noStrike">
              <a:solidFill>
                <a:schemeClr val="bg1"/>
              </a:solidFill>
              <a:latin typeface="Aptos Display" panose="020B0004020202020204" pitchFamily="34" charset="0"/>
              <a:ea typeface="Calibri"/>
              <a:cs typeface="Calibri"/>
            </a:rPr>
            <a:pPr marL="0" indent="0" algn="ctr"/>
            <a:t>$20,155</a:t>
          </a:fld>
          <a:endParaRPr lang="en-US" sz="2200" b="1" i="0" u="none" strike="noStrike">
            <a:solidFill>
              <a:schemeClr val="bg1"/>
            </a:solidFill>
            <a:latin typeface="Aptos Display" panose="020B0004020202020204" pitchFamily="34" charset="0"/>
            <a:ea typeface="Calibri"/>
            <a:cs typeface="Calibri"/>
          </a:endParaRPr>
        </a:p>
      </xdr:txBody>
    </xdr:sp>
    <xdr:clientData/>
  </xdr:twoCellAnchor>
  <xdr:twoCellAnchor editAs="oneCell">
    <xdr:from>
      <xdr:col>0</xdr:col>
      <xdr:colOff>60960</xdr:colOff>
      <xdr:row>0</xdr:row>
      <xdr:rowOff>57150</xdr:rowOff>
    </xdr:from>
    <xdr:to>
      <xdr:col>0</xdr:col>
      <xdr:colOff>975360</xdr:colOff>
      <xdr:row>1</xdr:row>
      <xdr:rowOff>240030</xdr:rowOff>
    </xdr:to>
    <xdr:pic>
      <xdr:nvPicPr>
        <xdr:cNvPr id="13" name="Graphic 12" descr="Suburban scene with solid fill">
          <a:extLst>
            <a:ext uri="{FF2B5EF4-FFF2-40B4-BE49-F238E27FC236}">
              <a16:creationId xmlns:a16="http://schemas.microsoft.com/office/drawing/2014/main" id="{447100CA-7B64-44F4-AACD-4630BEE0172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60" y="57150"/>
          <a:ext cx="914400" cy="916305"/>
        </a:xfrm>
        <a:prstGeom prst="rect">
          <a:avLst/>
        </a:prstGeom>
      </xdr:spPr>
    </xdr:pic>
    <xdr:clientData/>
  </xdr:twoCellAnchor>
  <xdr:twoCellAnchor>
    <xdr:from>
      <xdr:col>0</xdr:col>
      <xdr:colOff>1017271</xdr:colOff>
      <xdr:row>9</xdr:row>
      <xdr:rowOff>156210</xdr:rowOff>
    </xdr:from>
    <xdr:to>
      <xdr:col>2</xdr:col>
      <xdr:colOff>379096</xdr:colOff>
      <xdr:row>11</xdr:row>
      <xdr:rowOff>160020</xdr:rowOff>
    </xdr:to>
    <xdr:sp macro="" textlink="">
      <xdr:nvSpPr>
        <xdr:cNvPr id="17" name="TextBox 16">
          <a:extLst>
            <a:ext uri="{FF2B5EF4-FFF2-40B4-BE49-F238E27FC236}">
              <a16:creationId xmlns:a16="http://schemas.microsoft.com/office/drawing/2014/main" id="{CA148F47-53B3-4D4A-A546-C2C658E30824}"/>
            </a:ext>
          </a:extLst>
        </xdr:cNvPr>
        <xdr:cNvSpPr txBox="1"/>
      </xdr:nvSpPr>
      <xdr:spPr>
        <a:xfrm>
          <a:off x="1017271" y="251841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rPr>
            <a:t>Total </a:t>
          </a:r>
          <a:r>
            <a:rPr lang="en-US" sz="1200" b="0">
              <a:solidFill>
                <a:schemeClr val="bg1"/>
              </a:solidFill>
              <a:latin typeface="Aptos" panose="020B0004020202020204" pitchFamily="34" charset="0"/>
            </a:rPr>
            <a:t>Income</a:t>
          </a:r>
        </a:p>
      </xdr:txBody>
    </xdr:sp>
    <xdr:clientData/>
  </xdr:twoCellAnchor>
  <xdr:twoCellAnchor>
    <xdr:from>
      <xdr:col>3</xdr:col>
      <xdr:colOff>671196</xdr:colOff>
      <xdr:row>8</xdr:row>
      <xdr:rowOff>34290</xdr:rowOff>
    </xdr:from>
    <xdr:to>
      <xdr:col>6</xdr:col>
      <xdr:colOff>166371</xdr:colOff>
      <xdr:row>10</xdr:row>
      <xdr:rowOff>38100</xdr:rowOff>
    </xdr:to>
    <xdr:sp macro="" textlink="Analysis!B152">
      <xdr:nvSpPr>
        <xdr:cNvPr id="18" name="TextBox 17">
          <a:extLst>
            <a:ext uri="{FF2B5EF4-FFF2-40B4-BE49-F238E27FC236}">
              <a16:creationId xmlns:a16="http://schemas.microsoft.com/office/drawing/2014/main" id="{20B841F3-DD49-49F6-9C9F-B204095997D7}"/>
            </a:ext>
          </a:extLst>
        </xdr:cNvPr>
        <xdr:cNvSpPr txBox="1"/>
      </xdr:nvSpPr>
      <xdr:spPr>
        <a:xfrm>
          <a:off x="4043046" y="2215515"/>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9ABDB1-E5DE-4CC7-AE24-57F7AD2D5258}" type="TxLink">
            <a:rPr lang="en-US" sz="2200" b="1" i="0" u="none" strike="noStrike">
              <a:solidFill>
                <a:schemeClr val="bg1"/>
              </a:solidFill>
              <a:latin typeface="Aptos Display" panose="020B0004020202020204" pitchFamily="34" charset="0"/>
              <a:ea typeface="Calibri"/>
              <a:cs typeface="Calibri"/>
            </a:rPr>
            <a:pPr marL="0" indent="0" algn="ctr"/>
            <a:t>$65,280</a:t>
          </a:fld>
          <a:endParaRPr lang="en-US" sz="2200" b="1" i="0" u="none" strike="noStrike">
            <a:solidFill>
              <a:schemeClr val="bg1"/>
            </a:solidFill>
            <a:latin typeface="Aptos Display" panose="020B0004020202020204" pitchFamily="34" charset="0"/>
            <a:ea typeface="Calibri"/>
            <a:cs typeface="Calibri"/>
          </a:endParaRPr>
        </a:p>
      </xdr:txBody>
    </xdr:sp>
    <xdr:clientData/>
  </xdr:twoCellAnchor>
  <xdr:twoCellAnchor>
    <xdr:from>
      <xdr:col>6</xdr:col>
      <xdr:colOff>1303654</xdr:colOff>
      <xdr:row>9</xdr:row>
      <xdr:rowOff>140970</xdr:rowOff>
    </xdr:from>
    <xdr:to>
      <xdr:col>8</xdr:col>
      <xdr:colOff>274954</xdr:colOff>
      <xdr:row>11</xdr:row>
      <xdr:rowOff>144780</xdr:rowOff>
    </xdr:to>
    <xdr:sp macro="" textlink="">
      <xdr:nvSpPr>
        <xdr:cNvPr id="19" name="TextBox 18">
          <a:extLst>
            <a:ext uri="{FF2B5EF4-FFF2-40B4-BE49-F238E27FC236}">
              <a16:creationId xmlns:a16="http://schemas.microsoft.com/office/drawing/2014/main" id="{61C10431-1364-4E4F-95E1-C805209670A1}"/>
            </a:ext>
          </a:extLst>
        </xdr:cNvPr>
        <xdr:cNvSpPr txBox="1"/>
      </xdr:nvSpPr>
      <xdr:spPr>
        <a:xfrm>
          <a:off x="7009129" y="250317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latin typeface="Aptos" panose="020B0004020202020204" pitchFamily="34" charset="0"/>
              <a:ea typeface="+mn-ea"/>
              <a:cs typeface="+mn-cs"/>
            </a:rPr>
            <a:t>Net Savings</a:t>
          </a:r>
        </a:p>
      </xdr:txBody>
    </xdr:sp>
    <xdr:clientData/>
  </xdr:twoCellAnchor>
  <xdr:twoCellAnchor>
    <xdr:from>
      <xdr:col>8</xdr:col>
      <xdr:colOff>1316137</xdr:colOff>
      <xdr:row>9</xdr:row>
      <xdr:rowOff>137969</xdr:rowOff>
    </xdr:from>
    <xdr:to>
      <xdr:col>10</xdr:col>
      <xdr:colOff>906562</xdr:colOff>
      <xdr:row>11</xdr:row>
      <xdr:rowOff>141779</xdr:rowOff>
    </xdr:to>
    <xdr:sp macro="" textlink="">
      <xdr:nvSpPr>
        <xdr:cNvPr id="20" name="TextBox 19">
          <a:extLst>
            <a:ext uri="{FF2B5EF4-FFF2-40B4-BE49-F238E27FC236}">
              <a16:creationId xmlns:a16="http://schemas.microsoft.com/office/drawing/2014/main" id="{4A22E67A-BFAD-4047-8E9B-F08A09AC0EC2}"/>
            </a:ext>
          </a:extLst>
        </xdr:cNvPr>
        <xdr:cNvSpPr txBox="1"/>
      </xdr:nvSpPr>
      <xdr:spPr>
        <a:xfrm>
          <a:off x="9879112" y="2500169"/>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latin typeface="Aptos" panose="020B0004020202020204" pitchFamily="34" charset="0"/>
              <a:ea typeface="+mn-ea"/>
              <a:cs typeface="+mn-cs"/>
            </a:rPr>
            <a:t>Total </a:t>
          </a:r>
          <a:r>
            <a:rPr lang="en-US" sz="1200">
              <a:solidFill>
                <a:schemeClr val="bg1"/>
              </a:solidFill>
              <a:effectLst/>
              <a:latin typeface="Aptos" panose="020B0004020202020204" pitchFamily="34" charset="0"/>
              <a:ea typeface="+mn-ea"/>
              <a:cs typeface="+mn-cs"/>
            </a:rPr>
            <a:t>Budget</a:t>
          </a:r>
        </a:p>
      </xdr:txBody>
    </xdr:sp>
    <xdr:clientData/>
  </xdr:twoCellAnchor>
  <xdr:twoCellAnchor>
    <xdr:from>
      <xdr:col>11</xdr:col>
      <xdr:colOff>28578</xdr:colOff>
      <xdr:row>7</xdr:row>
      <xdr:rowOff>169331</xdr:rowOff>
    </xdr:from>
    <xdr:to>
      <xdr:col>14</xdr:col>
      <xdr:colOff>1005843</xdr:colOff>
      <xdr:row>12</xdr:row>
      <xdr:rowOff>22646</xdr:rowOff>
    </xdr:to>
    <xdr:sp macro="" textlink="">
      <xdr:nvSpPr>
        <xdr:cNvPr id="25" name="Rectangle: Rounded Corners 24">
          <a:extLst>
            <a:ext uri="{FF2B5EF4-FFF2-40B4-BE49-F238E27FC236}">
              <a16:creationId xmlns:a16="http://schemas.microsoft.com/office/drawing/2014/main" id="{4676BA29-0513-40D6-AF9A-0F3E73E128F6}"/>
            </a:ext>
          </a:extLst>
        </xdr:cNvPr>
        <xdr:cNvSpPr/>
      </xdr:nvSpPr>
      <xdr:spPr>
        <a:xfrm>
          <a:off x="12163428" y="2169581"/>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396877</xdr:colOff>
      <xdr:row>8</xdr:row>
      <xdr:rowOff>57784</xdr:rowOff>
    </xdr:from>
    <xdr:to>
      <xdr:col>14</xdr:col>
      <xdr:colOff>1006477</xdr:colOff>
      <xdr:row>10</xdr:row>
      <xdr:rowOff>61594</xdr:rowOff>
    </xdr:to>
    <xdr:sp macro="" textlink="Analysis!E152">
      <xdr:nvSpPr>
        <xdr:cNvPr id="26" name="TextBox 25">
          <a:extLst>
            <a:ext uri="{FF2B5EF4-FFF2-40B4-BE49-F238E27FC236}">
              <a16:creationId xmlns:a16="http://schemas.microsoft.com/office/drawing/2014/main" id="{E13F13C8-45FA-4822-BCE1-7E07AB6DDF95}"/>
            </a:ext>
          </a:extLst>
        </xdr:cNvPr>
        <xdr:cNvSpPr txBox="1"/>
      </xdr:nvSpPr>
      <xdr:spPr>
        <a:xfrm>
          <a:off x="12712702" y="2239009"/>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CD9BA9-39C1-4F69-B202-20EE304A53DF}" type="TxLink">
            <a:rPr lang="en-US" sz="2200" b="1" i="0" u="none" strike="noStrike">
              <a:solidFill>
                <a:schemeClr val="bg1"/>
              </a:solidFill>
              <a:latin typeface="Aptos Display" panose="020B0004020202020204" pitchFamily="34" charset="0"/>
              <a:ea typeface="Calibri"/>
              <a:cs typeface="Calibri"/>
            </a:rPr>
            <a:pPr marL="0" indent="0" algn="ctr"/>
            <a:t>-$2,989</a:t>
          </a:fld>
          <a:endParaRPr lang="en-US" sz="2200" b="1" i="0" u="none" strike="noStrike">
            <a:solidFill>
              <a:schemeClr val="bg1"/>
            </a:solidFill>
            <a:latin typeface="Aptos Display" panose="020B0004020202020204" pitchFamily="34" charset="0"/>
            <a:ea typeface="Calibri"/>
            <a:cs typeface="Calibri"/>
          </a:endParaRPr>
        </a:p>
      </xdr:txBody>
    </xdr:sp>
    <xdr:clientData/>
  </xdr:twoCellAnchor>
  <xdr:twoCellAnchor>
    <xdr:from>
      <xdr:col>12</xdr:col>
      <xdr:colOff>425452</xdr:colOff>
      <xdr:row>9</xdr:row>
      <xdr:rowOff>128231</xdr:rowOff>
    </xdr:from>
    <xdr:to>
      <xdr:col>14</xdr:col>
      <xdr:colOff>1035052</xdr:colOff>
      <xdr:row>11</xdr:row>
      <xdr:rowOff>132041</xdr:rowOff>
    </xdr:to>
    <xdr:sp macro="" textlink="">
      <xdr:nvSpPr>
        <xdr:cNvPr id="27" name="TextBox 26">
          <a:extLst>
            <a:ext uri="{FF2B5EF4-FFF2-40B4-BE49-F238E27FC236}">
              <a16:creationId xmlns:a16="http://schemas.microsoft.com/office/drawing/2014/main" id="{67F5F309-EB03-4A22-B2D6-A0EC66CABE53}"/>
            </a:ext>
          </a:extLst>
        </xdr:cNvPr>
        <xdr:cNvSpPr txBox="1"/>
      </xdr:nvSpPr>
      <xdr:spPr>
        <a:xfrm>
          <a:off x="12741277" y="2490431"/>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effectLst/>
              <a:latin typeface="Aptos" panose="020B0004020202020204" pitchFamily="34" charset="0"/>
              <a:ea typeface="+mn-ea"/>
              <a:cs typeface="+mn-cs"/>
            </a:rPr>
            <a:t>Variance</a:t>
          </a:r>
        </a:p>
      </xdr:txBody>
    </xdr:sp>
    <xdr:clientData/>
  </xdr:twoCellAnchor>
  <xdr:twoCellAnchor>
    <xdr:from>
      <xdr:col>14</xdr:col>
      <xdr:colOff>1524000</xdr:colOff>
      <xdr:row>7</xdr:row>
      <xdr:rowOff>161925</xdr:rowOff>
    </xdr:from>
    <xdr:to>
      <xdr:col>18</xdr:col>
      <xdr:colOff>224790</xdr:colOff>
      <xdr:row>12</xdr:row>
      <xdr:rowOff>15240</xdr:rowOff>
    </xdr:to>
    <xdr:sp macro="" textlink="">
      <xdr:nvSpPr>
        <xdr:cNvPr id="23" name="Rectangle: Rounded Corners 22">
          <a:extLst>
            <a:ext uri="{FF2B5EF4-FFF2-40B4-BE49-F238E27FC236}">
              <a16:creationId xmlns:a16="http://schemas.microsoft.com/office/drawing/2014/main" id="{D7300BA0-CAC9-4E31-8304-2D0E318103FE}"/>
            </a:ext>
          </a:extLst>
        </xdr:cNvPr>
        <xdr:cNvSpPr/>
      </xdr:nvSpPr>
      <xdr:spPr>
        <a:xfrm>
          <a:off x="15059025" y="2162175"/>
          <a:ext cx="2377440" cy="777240"/>
        </a:xfrm>
        <a:prstGeom prst="roundRect">
          <a:avLst/>
        </a:prstGeom>
        <a:solidFill>
          <a:schemeClr val="accent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187324</xdr:colOff>
      <xdr:row>8</xdr:row>
      <xdr:rowOff>59903</xdr:rowOff>
    </xdr:from>
    <xdr:to>
      <xdr:col>18</xdr:col>
      <xdr:colOff>187324</xdr:colOff>
      <xdr:row>10</xdr:row>
      <xdr:rowOff>6563</xdr:rowOff>
    </xdr:to>
    <xdr:sp macro="" textlink="Analysis!F152">
      <xdr:nvSpPr>
        <xdr:cNvPr id="24" name="TextBox 23">
          <a:extLst>
            <a:ext uri="{FF2B5EF4-FFF2-40B4-BE49-F238E27FC236}">
              <a16:creationId xmlns:a16="http://schemas.microsoft.com/office/drawing/2014/main" id="{D9A090D7-92BB-41CD-91D4-2B05AFDA45B4}"/>
            </a:ext>
          </a:extLst>
        </xdr:cNvPr>
        <xdr:cNvSpPr txBox="1"/>
      </xdr:nvSpPr>
      <xdr:spPr>
        <a:xfrm>
          <a:off x="15570199" y="2241128"/>
          <a:ext cx="182880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4C9C60-9C19-4278-88BB-B76A528034E3}" type="TxLink">
            <a:rPr lang="en-US" sz="2200" b="1" i="0" u="none" strike="noStrike">
              <a:solidFill>
                <a:schemeClr val="bg1"/>
              </a:solidFill>
              <a:latin typeface="Aptos Display" panose="020B0004020202020204" pitchFamily="34" charset="0"/>
              <a:ea typeface="Calibri"/>
              <a:cs typeface="Calibri"/>
            </a:rPr>
            <a:pPr marL="0" indent="0" algn="ctr"/>
            <a:t>95.6%</a:t>
          </a:fld>
          <a:endParaRPr lang="en-US" sz="2200" b="1" i="0" u="none" strike="noStrike">
            <a:solidFill>
              <a:schemeClr val="bg1"/>
            </a:solidFill>
            <a:latin typeface="Aptos Display" panose="020B0004020202020204" pitchFamily="34" charset="0"/>
            <a:ea typeface="Calibri"/>
            <a:cs typeface="Calibri"/>
          </a:endParaRPr>
        </a:p>
      </xdr:txBody>
    </xdr:sp>
    <xdr:clientData/>
  </xdr:twoCellAnchor>
  <xdr:twoCellAnchor>
    <xdr:from>
      <xdr:col>15</xdr:col>
      <xdr:colOff>187324</xdr:colOff>
      <xdr:row>9</xdr:row>
      <xdr:rowOff>149400</xdr:rowOff>
    </xdr:from>
    <xdr:to>
      <xdr:col>18</xdr:col>
      <xdr:colOff>187324</xdr:colOff>
      <xdr:row>11</xdr:row>
      <xdr:rowOff>149400</xdr:rowOff>
    </xdr:to>
    <xdr:sp macro="" textlink="">
      <xdr:nvSpPr>
        <xdr:cNvPr id="28" name="TextBox 27">
          <a:extLst>
            <a:ext uri="{FF2B5EF4-FFF2-40B4-BE49-F238E27FC236}">
              <a16:creationId xmlns:a16="http://schemas.microsoft.com/office/drawing/2014/main" id="{68D59610-BC92-4FC8-8689-2B205B424842}"/>
            </a:ext>
          </a:extLst>
        </xdr:cNvPr>
        <xdr:cNvSpPr txBox="1"/>
      </xdr:nvSpPr>
      <xdr:spPr>
        <a:xfrm>
          <a:off x="15570199" y="2511600"/>
          <a:ext cx="18288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bg1"/>
              </a:solidFill>
              <a:effectLst/>
              <a:latin typeface="Aptos" panose="020B0004020202020204" pitchFamily="34" charset="0"/>
              <a:ea typeface="+mn-ea"/>
              <a:cs typeface="+mn-cs"/>
            </a:rPr>
            <a:t>Expense Budget </a:t>
          </a:r>
          <a:r>
            <a:rPr lang="en-US" sz="1200">
              <a:solidFill>
                <a:schemeClr val="bg1"/>
              </a:solidFill>
              <a:latin typeface="Aptos" panose="020B0004020202020204" pitchFamily="34" charset="0"/>
              <a:ea typeface="+mn-ea"/>
              <a:cs typeface="+mn-cs"/>
            </a:rPr>
            <a:t>Used</a:t>
          </a:r>
          <a:endParaRPr lang="en-US" sz="1200">
            <a:solidFill>
              <a:schemeClr val="bg1"/>
            </a:solidFill>
            <a:effectLst/>
            <a:latin typeface="Aptos" panose="020B0004020202020204" pitchFamily="34" charset="0"/>
          </a:endParaRPr>
        </a:p>
      </xdr:txBody>
    </xdr:sp>
    <xdr:clientData/>
  </xdr:twoCellAnchor>
  <xdr:twoCellAnchor>
    <xdr:from>
      <xdr:col>3</xdr:col>
      <xdr:colOff>228599</xdr:colOff>
      <xdr:row>31</xdr:row>
      <xdr:rowOff>161926</xdr:rowOff>
    </xdr:from>
    <xdr:to>
      <xdr:col>8</xdr:col>
      <xdr:colOff>152400</xdr:colOff>
      <xdr:row>50</xdr:row>
      <xdr:rowOff>19051</xdr:rowOff>
    </xdr:to>
    <xdr:graphicFrame macro="">
      <xdr:nvGraphicFramePr>
        <xdr:cNvPr id="29" name="Chart 28">
          <a:extLst>
            <a:ext uri="{FF2B5EF4-FFF2-40B4-BE49-F238E27FC236}">
              <a16:creationId xmlns:a16="http://schemas.microsoft.com/office/drawing/2014/main" id="{B585E112-036B-44C4-AB5E-F25E04621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238124</xdr:colOff>
      <xdr:row>2</xdr:row>
      <xdr:rowOff>85725</xdr:rowOff>
    </xdr:from>
    <xdr:to>
      <xdr:col>18</xdr:col>
      <xdr:colOff>438149</xdr:colOff>
      <xdr:row>7</xdr:row>
      <xdr:rowOff>47625</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2C63DA3B-7F38-4C1F-9595-5FABE40DF2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43599" y="1181100"/>
              <a:ext cx="11706225"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2</xdr:row>
      <xdr:rowOff>89535</xdr:rowOff>
    </xdr:from>
    <xdr:to>
      <xdr:col>6</xdr:col>
      <xdr:colOff>9524</xdr:colOff>
      <xdr:row>7</xdr:row>
      <xdr:rowOff>53340</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B082378C-0EBB-44B7-A0FA-25E182DAA17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4" y="1184910"/>
              <a:ext cx="5629275"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438150</xdr:colOff>
      <xdr:row>31</xdr:row>
      <xdr:rowOff>161925</xdr:rowOff>
    </xdr:from>
    <xdr:to>
      <xdr:col>19</xdr:col>
      <xdr:colOff>123824</xdr:colOff>
      <xdr:row>48</xdr:row>
      <xdr:rowOff>66332</xdr:rowOff>
    </xdr:to>
    <xdr:sp macro="" textlink="">
      <xdr:nvSpPr>
        <xdr:cNvPr id="15" name="Rectangle 14">
          <a:extLst>
            <a:ext uri="{FF2B5EF4-FFF2-40B4-BE49-F238E27FC236}">
              <a16:creationId xmlns:a16="http://schemas.microsoft.com/office/drawing/2014/main" id="{C905968C-145C-64B0-E89D-F1260865ABFA}"/>
            </a:ext>
          </a:extLst>
        </xdr:cNvPr>
        <xdr:cNvSpPr/>
      </xdr:nvSpPr>
      <xdr:spPr>
        <a:xfrm>
          <a:off x="13973175" y="6524625"/>
          <a:ext cx="3971924" cy="298098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622550</xdr:colOff>
      <xdr:row>35</xdr:row>
      <xdr:rowOff>19049</xdr:rowOff>
    </xdr:from>
    <xdr:to>
      <xdr:col>18</xdr:col>
      <xdr:colOff>590550</xdr:colOff>
      <xdr:row>46</xdr:row>
      <xdr:rowOff>28575</xdr:rowOff>
    </xdr:to>
    <xdr:sp macro="" textlink="Analysis!B155">
      <xdr:nvSpPr>
        <xdr:cNvPr id="14" name="TextBox 13">
          <a:extLst>
            <a:ext uri="{FF2B5EF4-FFF2-40B4-BE49-F238E27FC236}">
              <a16:creationId xmlns:a16="http://schemas.microsoft.com/office/drawing/2014/main" id="{F925A362-086A-2794-B236-9F0C3A49026B}"/>
            </a:ext>
          </a:extLst>
        </xdr:cNvPr>
        <xdr:cNvSpPr txBox="1"/>
      </xdr:nvSpPr>
      <xdr:spPr>
        <a:xfrm>
          <a:off x="14157575" y="7105649"/>
          <a:ext cx="3644650" cy="2000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57C3F-465F-4813-BE1F-F05C7082D9D1}" type="TxLink">
            <a:rPr lang="en-US" sz="1100" b="0" i="0" u="none" strike="noStrike">
              <a:solidFill>
                <a:srgbClr val="000000"/>
              </a:solidFill>
              <a:latin typeface="Aptos" panose="020B0004020202020204" pitchFamily="34" charset="0"/>
              <a:ea typeface="Calibri"/>
              <a:cs typeface="Calibri"/>
            </a:rPr>
            <a:pPr/>
            <a:t>🏠 Housing accounted for 53% of total expenses.
🩺 Healthcare spending was 10% over budget.
📊 January had the highest monthly spending.
💰 Salary contributed 99% of total income.
💵 Net savings were highest in August.</a:t>
          </a:fld>
          <a:endParaRPr lang="en-US" sz="1300">
            <a:latin typeface="Aptos" panose="020B0004020202020204" pitchFamily="34" charset="0"/>
          </a:endParaRPr>
        </a:p>
      </xdr:txBody>
    </xdr:sp>
    <xdr:clientData/>
  </xdr:twoCellAnchor>
  <xdr:twoCellAnchor>
    <xdr:from>
      <xdr:col>14</xdr:col>
      <xdr:colOff>525159</xdr:colOff>
      <xdr:row>32</xdr:row>
      <xdr:rowOff>95250</xdr:rowOff>
    </xdr:from>
    <xdr:to>
      <xdr:col>17</xdr:col>
      <xdr:colOff>314324</xdr:colOff>
      <xdr:row>34</xdr:row>
      <xdr:rowOff>133350</xdr:rowOff>
    </xdr:to>
    <xdr:sp macro="" textlink="">
      <xdr:nvSpPr>
        <xdr:cNvPr id="16" name="TextBox 15">
          <a:extLst>
            <a:ext uri="{FF2B5EF4-FFF2-40B4-BE49-F238E27FC236}">
              <a16:creationId xmlns:a16="http://schemas.microsoft.com/office/drawing/2014/main" id="{0936A48B-FC4D-F942-A9A8-A3E2F402A1CA}"/>
            </a:ext>
          </a:extLst>
        </xdr:cNvPr>
        <xdr:cNvSpPr txBox="1"/>
      </xdr:nvSpPr>
      <xdr:spPr>
        <a:xfrm>
          <a:off x="14060184" y="6638925"/>
          <a:ext cx="285621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latin typeface="Aptos" panose="020B0004020202020204" pitchFamily="34" charset="0"/>
            </a:rPr>
            <a:t>Business </a:t>
          </a:r>
          <a:r>
            <a:rPr lang="en-US" sz="1400" b="1" i="0" u="none" strike="noStrike" kern="1200" spc="0" baseline="0">
              <a:solidFill>
                <a:schemeClr val="accent1">
                  <a:lumMod val="50000"/>
                </a:schemeClr>
              </a:solidFill>
              <a:latin typeface="Aptos" panose="020B0004020202020204" pitchFamily="34" charset="0"/>
              <a:ea typeface="+mn-ea"/>
              <a:cs typeface="+mn-cs"/>
            </a:rPr>
            <a:t>Insights</a:t>
          </a:r>
        </a:p>
      </xdr:txBody>
    </xdr:sp>
    <xdr:clientData/>
  </xdr:twoCellAnchor>
  <xdr:twoCellAnchor>
    <xdr:from>
      <xdr:col>8</xdr:col>
      <xdr:colOff>609600</xdr:colOff>
      <xdr:row>48</xdr:row>
      <xdr:rowOff>142876</xdr:rowOff>
    </xdr:from>
    <xdr:to>
      <xdr:col>18</xdr:col>
      <xdr:colOff>361950</xdr:colOff>
      <xdr:row>50</xdr:row>
      <xdr:rowOff>38100</xdr:rowOff>
    </xdr:to>
    <xdr:sp macro="" textlink="">
      <xdr:nvSpPr>
        <xdr:cNvPr id="33" name="TextBox 32">
          <a:extLst>
            <a:ext uri="{FF2B5EF4-FFF2-40B4-BE49-F238E27FC236}">
              <a16:creationId xmlns:a16="http://schemas.microsoft.com/office/drawing/2014/main" id="{BD3B1CE3-FFC9-A858-46AF-F90B3D3728D0}"/>
            </a:ext>
          </a:extLst>
        </xdr:cNvPr>
        <xdr:cNvSpPr txBox="1"/>
      </xdr:nvSpPr>
      <xdr:spPr>
        <a:xfrm>
          <a:off x="9172575" y="9582151"/>
          <a:ext cx="84010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0" u="none" strike="noStrike">
              <a:solidFill>
                <a:schemeClr val="dk1"/>
              </a:solidFill>
              <a:effectLst/>
              <a:latin typeface="+mn-lt"/>
              <a:ea typeface="+mn-ea"/>
              <a:cs typeface="+mn-cs"/>
            </a:rPr>
            <a:t>Excel • Power Query • PivotTables • PivotCharts • GETPIVOTDATA • XLOOKUP</a:t>
          </a:r>
        </a:p>
        <a:p>
          <a:endParaRPr lang="en-US" sz="1100"/>
        </a:p>
      </xdr:txBody>
    </xdr:sp>
    <xdr:clientData/>
  </xdr:twoCellAnchor>
  <xdr:twoCellAnchor>
    <xdr:from>
      <xdr:col>0</xdr:col>
      <xdr:colOff>581025</xdr:colOff>
      <xdr:row>8</xdr:row>
      <xdr:rowOff>19050</xdr:rowOff>
    </xdr:from>
    <xdr:to>
      <xdr:col>0</xdr:col>
      <xdr:colOff>1152525</xdr:colOff>
      <xdr:row>11</xdr:row>
      <xdr:rowOff>19050</xdr:rowOff>
    </xdr:to>
    <xdr:sp macro="" textlink="">
      <xdr:nvSpPr>
        <xdr:cNvPr id="42" name="TextBox 41">
          <a:extLst>
            <a:ext uri="{FF2B5EF4-FFF2-40B4-BE49-F238E27FC236}">
              <a16:creationId xmlns:a16="http://schemas.microsoft.com/office/drawing/2014/main" id="{4AAD0D2E-7BCD-438E-6E18-AE242D45CB9E}"/>
            </a:ext>
          </a:extLst>
        </xdr:cNvPr>
        <xdr:cNvSpPr txBox="1"/>
      </xdr:nvSpPr>
      <xdr:spPr>
        <a:xfrm>
          <a:off x="581025" y="2200275"/>
          <a:ext cx="5715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3</xdr:col>
      <xdr:colOff>180975</xdr:colOff>
      <xdr:row>7</xdr:row>
      <xdr:rowOff>161925</xdr:rowOff>
    </xdr:from>
    <xdr:to>
      <xdr:col>3</xdr:col>
      <xdr:colOff>962025</xdr:colOff>
      <xdr:row>12</xdr:row>
      <xdr:rowOff>47625</xdr:rowOff>
    </xdr:to>
    <xdr:sp macro="" textlink="">
      <xdr:nvSpPr>
        <xdr:cNvPr id="43" name="TextBox 42">
          <a:extLst>
            <a:ext uri="{FF2B5EF4-FFF2-40B4-BE49-F238E27FC236}">
              <a16:creationId xmlns:a16="http://schemas.microsoft.com/office/drawing/2014/main" id="{93A1F020-5C22-0D5E-7FCC-5BEBA0DD0E49}"/>
            </a:ext>
          </a:extLst>
        </xdr:cNvPr>
        <xdr:cNvSpPr txBox="1"/>
      </xdr:nvSpPr>
      <xdr:spPr>
        <a:xfrm>
          <a:off x="3552825" y="2162175"/>
          <a:ext cx="78105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6</xdr:col>
      <xdr:colOff>847725</xdr:colOff>
      <xdr:row>8</xdr:row>
      <xdr:rowOff>28575</xdr:rowOff>
    </xdr:from>
    <xdr:to>
      <xdr:col>7</xdr:col>
      <xdr:colOff>142875</xdr:colOff>
      <xdr:row>11</xdr:row>
      <xdr:rowOff>180975</xdr:rowOff>
    </xdr:to>
    <xdr:sp macro="" textlink="">
      <xdr:nvSpPr>
        <xdr:cNvPr id="44" name="TextBox 43">
          <a:extLst>
            <a:ext uri="{FF2B5EF4-FFF2-40B4-BE49-F238E27FC236}">
              <a16:creationId xmlns:a16="http://schemas.microsoft.com/office/drawing/2014/main" id="{52890670-8860-A502-874E-83E9599C9266}"/>
            </a:ext>
          </a:extLst>
        </xdr:cNvPr>
        <xdr:cNvSpPr txBox="1"/>
      </xdr:nvSpPr>
      <xdr:spPr>
        <a:xfrm>
          <a:off x="6553200" y="2209800"/>
          <a:ext cx="7239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14</xdr:col>
      <xdr:colOff>1600200</xdr:colOff>
      <xdr:row>8</xdr:row>
      <xdr:rowOff>19050</xdr:rowOff>
    </xdr:from>
    <xdr:to>
      <xdr:col>15</xdr:col>
      <xdr:colOff>447675</xdr:colOff>
      <xdr:row>12</xdr:row>
      <xdr:rowOff>9525</xdr:rowOff>
    </xdr:to>
    <xdr:sp macro="" textlink="">
      <xdr:nvSpPr>
        <xdr:cNvPr id="45" name="TextBox 44">
          <a:extLst>
            <a:ext uri="{FF2B5EF4-FFF2-40B4-BE49-F238E27FC236}">
              <a16:creationId xmlns:a16="http://schemas.microsoft.com/office/drawing/2014/main" id="{27A83DC4-B9B0-99D4-4AAD-DEF9429371D7}"/>
            </a:ext>
          </a:extLst>
        </xdr:cNvPr>
        <xdr:cNvSpPr txBox="1"/>
      </xdr:nvSpPr>
      <xdr:spPr>
        <a:xfrm>
          <a:off x="15135225" y="2200275"/>
          <a:ext cx="69532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12</xdr:col>
      <xdr:colOff>38100</xdr:colOff>
      <xdr:row>8</xdr:row>
      <xdr:rowOff>28575</xdr:rowOff>
    </xdr:from>
    <xdr:to>
      <xdr:col>13</xdr:col>
      <xdr:colOff>152400</xdr:colOff>
      <xdr:row>11</xdr:row>
      <xdr:rowOff>180975</xdr:rowOff>
    </xdr:to>
    <xdr:sp macro="" textlink="">
      <xdr:nvSpPr>
        <xdr:cNvPr id="46" name="TextBox 45">
          <a:extLst>
            <a:ext uri="{FF2B5EF4-FFF2-40B4-BE49-F238E27FC236}">
              <a16:creationId xmlns:a16="http://schemas.microsoft.com/office/drawing/2014/main" id="{41ABF8BC-0C5B-4E26-BAD1-2AE800E8B0D1}"/>
            </a:ext>
          </a:extLst>
        </xdr:cNvPr>
        <xdr:cNvSpPr txBox="1"/>
      </xdr:nvSpPr>
      <xdr:spPr>
        <a:xfrm>
          <a:off x="12353925" y="2209800"/>
          <a:ext cx="7239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8</xdr:col>
      <xdr:colOff>923925</xdr:colOff>
      <xdr:row>8</xdr:row>
      <xdr:rowOff>19050</xdr:rowOff>
    </xdr:from>
    <xdr:to>
      <xdr:col>9</xdr:col>
      <xdr:colOff>219075</xdr:colOff>
      <xdr:row>11</xdr:row>
      <xdr:rowOff>171450</xdr:rowOff>
    </xdr:to>
    <xdr:sp macro="" textlink="">
      <xdr:nvSpPr>
        <xdr:cNvPr id="47" name="TextBox 46">
          <a:extLst>
            <a:ext uri="{FF2B5EF4-FFF2-40B4-BE49-F238E27FC236}">
              <a16:creationId xmlns:a16="http://schemas.microsoft.com/office/drawing/2014/main" id="{EC156797-C396-40EC-837D-70B16B5782F3}"/>
            </a:ext>
          </a:extLst>
        </xdr:cNvPr>
        <xdr:cNvSpPr txBox="1"/>
      </xdr:nvSpPr>
      <xdr:spPr>
        <a:xfrm>
          <a:off x="9486900" y="2200275"/>
          <a:ext cx="7239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a:t>
          </a:r>
        </a:p>
      </xdr:txBody>
    </xdr:sp>
    <xdr:clientData/>
  </xdr:twoCellAnchor>
  <xdr:twoCellAnchor>
    <xdr:from>
      <xdr:col>15</xdr:col>
      <xdr:colOff>28574</xdr:colOff>
      <xdr:row>0</xdr:row>
      <xdr:rowOff>114300</xdr:rowOff>
    </xdr:from>
    <xdr:to>
      <xdr:col>18</xdr:col>
      <xdr:colOff>495299</xdr:colOff>
      <xdr:row>0</xdr:row>
      <xdr:rowOff>628650</xdr:rowOff>
    </xdr:to>
    <xdr:sp macro="" textlink="Analysis!A168">
      <xdr:nvSpPr>
        <xdr:cNvPr id="53" name="TextBox 52">
          <a:extLst>
            <a:ext uri="{FF2B5EF4-FFF2-40B4-BE49-F238E27FC236}">
              <a16:creationId xmlns:a16="http://schemas.microsoft.com/office/drawing/2014/main" id="{D664540E-7B81-484B-B038-168E62B3D592}"/>
            </a:ext>
          </a:extLst>
        </xdr:cNvPr>
        <xdr:cNvSpPr txBox="1"/>
      </xdr:nvSpPr>
      <xdr:spPr>
        <a:xfrm>
          <a:off x="15411449" y="114300"/>
          <a:ext cx="22955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DFC322-3DE7-4299-A6A7-935154F36138}" type="TxLink">
            <a:rPr lang="en-US" sz="1200" b="0" i="0" u="none" strike="noStrike">
              <a:solidFill>
                <a:schemeClr val="bg1"/>
              </a:solidFill>
              <a:latin typeface="Calibri"/>
              <a:ea typeface="Calibri"/>
              <a:cs typeface="Calibri"/>
            </a:rPr>
            <a:pPr algn="ctr"/>
            <a:t> Last Updated: 
September 19, 2026    11:33 PM</a:t>
          </a:fld>
          <a:endParaRPr lang="en-US" sz="1200">
            <a:solidFill>
              <a:schemeClr val="bg1"/>
            </a:solidFill>
          </a:endParaRPr>
        </a:p>
      </xdr:txBody>
    </xdr:sp>
    <xdr:clientData/>
  </xdr:twoCellAnchor>
  <xdr:twoCellAnchor>
    <xdr:from>
      <xdr:col>4</xdr:col>
      <xdr:colOff>476250</xdr:colOff>
      <xdr:row>1</xdr:row>
      <xdr:rowOff>28574</xdr:rowOff>
    </xdr:from>
    <xdr:to>
      <xdr:col>10</xdr:col>
      <xdr:colOff>457200</xdr:colOff>
      <xdr:row>1</xdr:row>
      <xdr:rowOff>304799</xdr:rowOff>
    </xdr:to>
    <xdr:sp macro="" textlink="">
      <xdr:nvSpPr>
        <xdr:cNvPr id="54" name="TextBox 53">
          <a:extLst>
            <a:ext uri="{FF2B5EF4-FFF2-40B4-BE49-F238E27FC236}">
              <a16:creationId xmlns:a16="http://schemas.microsoft.com/office/drawing/2014/main" id="{FE875A40-AA8E-B3AB-1393-5105CD03F752}"/>
            </a:ext>
          </a:extLst>
        </xdr:cNvPr>
        <xdr:cNvSpPr txBox="1"/>
      </xdr:nvSpPr>
      <xdr:spPr>
        <a:xfrm>
          <a:off x="5000625" y="761999"/>
          <a:ext cx="6257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solidFill>
                <a:schemeClr val="bg1"/>
              </a:solidFill>
              <a:latin typeface="Aptos Display" panose="020B0004020202020204" pitchFamily="34" charset="0"/>
            </a:rPr>
            <a:t>Interactive financial dashboard comparing budgeted and actual household income and expenses.</a:t>
          </a:r>
          <a:endParaRPr lang="en-US" sz="1100">
            <a:solidFill>
              <a:schemeClr val="bg1"/>
            </a:solidFill>
            <a:latin typeface="Aptos Display" panose="020B0004020202020204" pitchFamily="34" charset="0"/>
          </a:endParaRPr>
        </a:p>
      </xdr:txBody>
    </xdr:sp>
    <xdr:clientData/>
  </xdr:twoCellAnchor>
  <xdr:twoCellAnchor>
    <xdr:from>
      <xdr:col>3</xdr:col>
      <xdr:colOff>628650</xdr:colOff>
      <xdr:row>0</xdr:row>
      <xdr:rowOff>47625</xdr:rowOff>
    </xdr:from>
    <xdr:to>
      <xdr:col>10</xdr:col>
      <xdr:colOff>1238250</xdr:colOff>
      <xdr:row>0</xdr:row>
      <xdr:rowOff>561975</xdr:rowOff>
    </xdr:to>
    <xdr:sp macro="" textlink="">
      <xdr:nvSpPr>
        <xdr:cNvPr id="55" name="TextBox 54">
          <a:extLst>
            <a:ext uri="{FF2B5EF4-FFF2-40B4-BE49-F238E27FC236}">
              <a16:creationId xmlns:a16="http://schemas.microsoft.com/office/drawing/2014/main" id="{0DC250D4-2293-9B71-1BE2-FFE953C90FA5}"/>
            </a:ext>
          </a:extLst>
        </xdr:cNvPr>
        <xdr:cNvSpPr txBox="1"/>
      </xdr:nvSpPr>
      <xdr:spPr>
        <a:xfrm>
          <a:off x="4000500" y="47625"/>
          <a:ext cx="80391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ptos Display" panose="020B0004020202020204" pitchFamily="34" charset="0"/>
            </a:rPr>
            <a:t>Household Budget vs Actual Dashboard</a:t>
          </a:r>
        </a:p>
      </xdr:txBody>
    </xdr:sp>
    <xdr:clientData/>
  </xdr:twoCellAnchor>
  <xdr:twoCellAnchor>
    <xdr:from>
      <xdr:col>5</xdr:col>
      <xdr:colOff>28575</xdr:colOff>
      <xdr:row>0</xdr:row>
      <xdr:rowOff>485775</xdr:rowOff>
    </xdr:from>
    <xdr:to>
      <xdr:col>9</xdr:col>
      <xdr:colOff>790575</xdr:colOff>
      <xdr:row>1</xdr:row>
      <xdr:rowOff>95250</xdr:rowOff>
    </xdr:to>
    <xdr:sp macro="" textlink="Analysis!A170">
      <xdr:nvSpPr>
        <xdr:cNvPr id="56" name="TextBox 55">
          <a:extLst>
            <a:ext uri="{FF2B5EF4-FFF2-40B4-BE49-F238E27FC236}">
              <a16:creationId xmlns:a16="http://schemas.microsoft.com/office/drawing/2014/main" id="{41FAAEFC-D0B6-7711-0AD7-180C3F8FE7FC}"/>
            </a:ext>
          </a:extLst>
        </xdr:cNvPr>
        <xdr:cNvSpPr txBox="1"/>
      </xdr:nvSpPr>
      <xdr:spPr>
        <a:xfrm>
          <a:off x="5362575" y="485775"/>
          <a:ext cx="54197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F1D749-7258-47FF-9B2A-7BECF645D198}" type="TxLink">
            <a:rPr lang="en-US" sz="1400" b="0" i="0" u="none" strike="noStrike">
              <a:solidFill>
                <a:schemeClr val="bg1"/>
              </a:solidFill>
              <a:latin typeface="Calibri"/>
              <a:ea typeface="Calibri"/>
              <a:cs typeface="Calibri"/>
            </a:rPr>
            <a:pPr algn="ctr"/>
            <a:t>Expense Period : Jan - Dec 2025| Dynamic &amp; Slicer-Driven</a:t>
          </a:fld>
          <a:endParaRPr lang="en-US" sz="1400">
            <a:solidFill>
              <a:schemeClr val="bg1"/>
            </a:solidFill>
          </a:endParaRPr>
        </a:p>
      </xdr:txBody>
    </xdr:sp>
    <xdr:clientData/>
  </xdr:twoCellAnchor>
  <xdr:twoCellAnchor>
    <xdr:from>
      <xdr:col>0</xdr:col>
      <xdr:colOff>95250</xdr:colOff>
      <xdr:row>12</xdr:row>
      <xdr:rowOff>123825</xdr:rowOff>
    </xdr:from>
    <xdr:to>
      <xdr:col>4</xdr:col>
      <xdr:colOff>737235</xdr:colOff>
      <xdr:row>31</xdr:row>
      <xdr:rowOff>68580</xdr:rowOff>
    </xdr:to>
    <xdr:graphicFrame macro="">
      <xdr:nvGraphicFramePr>
        <xdr:cNvPr id="34" name="Chart 33">
          <a:extLst>
            <a:ext uri="{FF2B5EF4-FFF2-40B4-BE49-F238E27FC236}">
              <a16:creationId xmlns:a16="http://schemas.microsoft.com/office/drawing/2014/main" id="{FFC8ECFB-536F-4D93-9950-46B8669AE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1600200</xdr:colOff>
      <xdr:row>12</xdr:row>
      <xdr:rowOff>114300</xdr:rowOff>
    </xdr:from>
    <xdr:to>
      <xdr:col>19</xdr:col>
      <xdr:colOff>57150</xdr:colOff>
      <xdr:row>31</xdr:row>
      <xdr:rowOff>40767</xdr:rowOff>
    </xdr:to>
    <xdr:graphicFrame macro="">
      <xdr:nvGraphicFramePr>
        <xdr:cNvPr id="10" name="Chart 9">
          <a:extLst>
            <a:ext uri="{FF2B5EF4-FFF2-40B4-BE49-F238E27FC236}">
              <a16:creationId xmlns:a16="http://schemas.microsoft.com/office/drawing/2014/main" id="{D0893FEA-CB66-4E66-B362-8C7FC10B2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190500</xdr:colOff>
      <xdr:row>18</xdr:row>
      <xdr:rowOff>171449</xdr:rowOff>
    </xdr:from>
    <xdr:to>
      <xdr:col>18</xdr:col>
      <xdr:colOff>333375</xdr:colOff>
      <xdr:row>23</xdr:row>
      <xdr:rowOff>38099</xdr:rowOff>
    </xdr:to>
    <xdr:sp macro="" textlink="Analysis!N7">
      <xdr:nvSpPr>
        <xdr:cNvPr id="35" name="TextBox 34">
          <a:extLst>
            <a:ext uri="{FF2B5EF4-FFF2-40B4-BE49-F238E27FC236}">
              <a16:creationId xmlns:a16="http://schemas.microsoft.com/office/drawing/2014/main" id="{A477DB73-A9B0-313E-F9C8-AAB46F4FE5F3}"/>
            </a:ext>
          </a:extLst>
        </xdr:cNvPr>
        <xdr:cNvSpPr txBox="1"/>
      </xdr:nvSpPr>
      <xdr:spPr>
        <a:xfrm>
          <a:off x="15573375" y="4181474"/>
          <a:ext cx="197167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09432-122F-4D52-AA9C-98F4F69AF131}" type="TxLink">
            <a:rPr lang="en-US" sz="1100" b="1" i="0" u="none" strike="noStrike">
              <a:solidFill>
                <a:srgbClr val="000000"/>
              </a:solidFill>
              <a:latin typeface="Aptos" panose="020B0004020202020204" pitchFamily="34" charset="0"/>
              <a:ea typeface="Calibri"/>
              <a:cs typeface="Calibri"/>
            </a:rPr>
            <a:pPr algn="ctr"/>
            <a:t> </a:t>
          </a:fld>
          <a:endParaRPr lang="en-US" sz="1100" b="1">
            <a:latin typeface="Aptos" panose="020B0004020202020204" pitchFamily="34" charset="0"/>
          </a:endParaRPr>
        </a:p>
      </xdr:txBody>
    </xdr:sp>
    <xdr:clientData/>
  </xdr:twoCellAnchor>
  <xdr:twoCellAnchor>
    <xdr:from>
      <xdr:col>0</xdr:col>
      <xdr:colOff>1847850</xdr:colOff>
      <xdr:row>19</xdr:row>
      <xdr:rowOff>28574</xdr:rowOff>
    </xdr:from>
    <xdr:to>
      <xdr:col>3</xdr:col>
      <xdr:colOff>447675</xdr:colOff>
      <xdr:row>23</xdr:row>
      <xdr:rowOff>76199</xdr:rowOff>
    </xdr:to>
    <xdr:sp macro="" textlink="Analysis!K29">
      <xdr:nvSpPr>
        <xdr:cNvPr id="36" name="TextBox 35">
          <a:extLst>
            <a:ext uri="{FF2B5EF4-FFF2-40B4-BE49-F238E27FC236}">
              <a16:creationId xmlns:a16="http://schemas.microsoft.com/office/drawing/2014/main" id="{0118E480-3137-4874-8F14-F6284FAD6A25}"/>
            </a:ext>
          </a:extLst>
        </xdr:cNvPr>
        <xdr:cNvSpPr txBox="1"/>
      </xdr:nvSpPr>
      <xdr:spPr>
        <a:xfrm>
          <a:off x="1847850" y="4219574"/>
          <a:ext cx="197167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7F8D14-BAC7-41BD-8CA7-C1E0A1EAB0A8}" type="TxLink">
            <a:rPr lang="en-US" sz="1100" b="1" i="0" u="none" strike="noStrike">
              <a:solidFill>
                <a:srgbClr val="000000"/>
              </a:solidFill>
              <a:latin typeface="Aptos" panose="020B0004020202020204" pitchFamily="34" charset="0"/>
              <a:ea typeface="Calibri"/>
              <a:cs typeface="Calibri"/>
            </a:rPr>
            <a:pPr marL="0" indent="0" algn="ctr"/>
            <a:t> </a:t>
          </a:fld>
          <a:endParaRPr lang="en-US" sz="1100" b="1" i="0" u="none" strike="noStrike">
            <a:solidFill>
              <a:srgbClr val="000000"/>
            </a:solidFill>
            <a:latin typeface="Aptos" panose="020B0004020202020204" pitchFamily="34" charset="0"/>
            <a:ea typeface="Calibri"/>
            <a:cs typeface="Calibri"/>
          </a:endParaRPr>
        </a:p>
      </xdr:txBody>
    </xdr:sp>
    <xdr:clientData/>
  </xdr:twoCellAnchor>
  <xdr:twoCellAnchor>
    <xdr:from>
      <xdr:col>6</xdr:col>
      <xdr:colOff>714375</xdr:colOff>
      <xdr:row>19</xdr:row>
      <xdr:rowOff>38099</xdr:rowOff>
    </xdr:from>
    <xdr:to>
      <xdr:col>7</xdr:col>
      <xdr:colOff>1257300</xdr:colOff>
      <xdr:row>23</xdr:row>
      <xdr:rowOff>85724</xdr:rowOff>
    </xdr:to>
    <xdr:sp macro="" textlink="Analysis!K49">
      <xdr:nvSpPr>
        <xdr:cNvPr id="37" name="TextBox 36">
          <a:extLst>
            <a:ext uri="{FF2B5EF4-FFF2-40B4-BE49-F238E27FC236}">
              <a16:creationId xmlns:a16="http://schemas.microsoft.com/office/drawing/2014/main" id="{D80A8186-8AB0-4325-80A5-48AE845DFC71}"/>
            </a:ext>
          </a:extLst>
        </xdr:cNvPr>
        <xdr:cNvSpPr txBox="1"/>
      </xdr:nvSpPr>
      <xdr:spPr>
        <a:xfrm>
          <a:off x="6419850" y="4229099"/>
          <a:ext cx="197167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2399DD-3837-46F3-9337-77752E7CED63}" type="TxLink">
            <a:rPr lang="en-US" sz="1100" b="1" i="0" u="none" strike="noStrike">
              <a:solidFill>
                <a:srgbClr val="000000"/>
              </a:solidFill>
              <a:latin typeface="Aptos" panose="020B0004020202020204" pitchFamily="34" charset="0"/>
              <a:ea typeface="Calibri"/>
              <a:cs typeface="Calibri"/>
            </a:rPr>
            <a:pPr marL="0" indent="0" algn="ctr"/>
            <a:t> </a:t>
          </a:fld>
          <a:endParaRPr lang="en-US" sz="1100" b="1" i="0" u="none" strike="noStrike">
            <a:solidFill>
              <a:srgbClr val="000000"/>
            </a:solidFill>
            <a:latin typeface="Aptos" panose="020B0004020202020204" pitchFamily="34" charset="0"/>
            <a:ea typeface="Calibri"/>
            <a:cs typeface="Calibri"/>
          </a:endParaRPr>
        </a:p>
      </xdr:txBody>
    </xdr:sp>
    <xdr:clientData/>
  </xdr:twoCellAnchor>
  <xdr:twoCellAnchor>
    <xdr:from>
      <xdr:col>8</xdr:col>
      <xdr:colOff>228600</xdr:colOff>
      <xdr:row>31</xdr:row>
      <xdr:rowOff>161925</xdr:rowOff>
    </xdr:from>
    <xdr:to>
      <xdr:col>14</xdr:col>
      <xdr:colOff>340614</xdr:colOff>
      <xdr:row>48</xdr:row>
      <xdr:rowOff>75438</xdr:rowOff>
    </xdr:to>
    <xdr:graphicFrame macro="">
      <xdr:nvGraphicFramePr>
        <xdr:cNvPr id="9" name="Chart 8">
          <a:extLst>
            <a:ext uri="{FF2B5EF4-FFF2-40B4-BE49-F238E27FC236}">
              <a16:creationId xmlns:a16="http://schemas.microsoft.com/office/drawing/2014/main" id="{EE7D6133-562D-4D34-A85A-FB069C5FB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333375</xdr:colOff>
      <xdr:row>37</xdr:row>
      <xdr:rowOff>66674</xdr:rowOff>
    </xdr:from>
    <xdr:to>
      <xdr:col>11</xdr:col>
      <xdr:colOff>161925</xdr:colOff>
      <xdr:row>41</xdr:row>
      <xdr:rowOff>114299</xdr:rowOff>
    </xdr:to>
    <xdr:sp macro="" textlink="Analysis!I72">
      <xdr:nvSpPr>
        <xdr:cNvPr id="22" name="TextBox 21">
          <a:extLst>
            <a:ext uri="{FF2B5EF4-FFF2-40B4-BE49-F238E27FC236}">
              <a16:creationId xmlns:a16="http://schemas.microsoft.com/office/drawing/2014/main" id="{FC90783F-7767-4661-BBF6-DCEC8CEE6A7F}"/>
            </a:ext>
          </a:extLst>
        </xdr:cNvPr>
        <xdr:cNvSpPr txBox="1"/>
      </xdr:nvSpPr>
      <xdr:spPr>
        <a:xfrm>
          <a:off x="10325100" y="7515224"/>
          <a:ext cx="197167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49FA69-882B-4D69-99DE-75F7704DC431}" type="TxLink">
            <a:rPr lang="en-US" sz="1100" b="1" i="0" u="none" strike="noStrike">
              <a:solidFill>
                <a:srgbClr val="000000"/>
              </a:solidFill>
              <a:latin typeface="Aptos" panose="020B0004020202020204" pitchFamily="34" charset="0"/>
              <a:ea typeface="Calibri"/>
              <a:cs typeface="Calibri"/>
            </a:rPr>
            <a:pPr marL="0" indent="0" algn="ctr"/>
            <a:t> </a:t>
          </a:fld>
          <a:endParaRPr lang="en-US" sz="1100" b="1" i="0" u="none" strike="noStrike">
            <a:solidFill>
              <a:srgbClr val="000000"/>
            </a:solidFill>
            <a:latin typeface="Aptos" panose="020B0004020202020204" pitchFamily="34" charset="0"/>
            <a:ea typeface="Calibri"/>
            <a:cs typeface="Calibri"/>
          </a:endParaRPr>
        </a:p>
      </xdr:txBody>
    </xdr:sp>
    <xdr:clientData/>
  </xdr:twoCellAnchor>
  <xdr:twoCellAnchor>
    <xdr:from>
      <xdr:col>0</xdr:col>
      <xdr:colOff>95250</xdr:colOff>
      <xdr:row>31</xdr:row>
      <xdr:rowOff>171450</xdr:rowOff>
    </xdr:from>
    <xdr:to>
      <xdr:col>3</xdr:col>
      <xdr:colOff>152400</xdr:colOff>
      <xdr:row>50</xdr:row>
      <xdr:rowOff>15621</xdr:rowOff>
    </xdr:to>
    <xdr:graphicFrame macro="">
      <xdr:nvGraphicFramePr>
        <xdr:cNvPr id="39" name="Chart 38">
          <a:extLst>
            <a:ext uri="{FF2B5EF4-FFF2-40B4-BE49-F238E27FC236}">
              <a16:creationId xmlns:a16="http://schemas.microsoft.com/office/drawing/2014/main" id="{C732D8F3-4D92-4A38-8E94-69E55347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1171575</xdr:colOff>
      <xdr:row>12</xdr:row>
      <xdr:rowOff>114300</xdr:rowOff>
    </xdr:from>
    <xdr:to>
      <xdr:col>14</xdr:col>
      <xdr:colOff>1521333</xdr:colOff>
      <xdr:row>31</xdr:row>
      <xdr:rowOff>59055</xdr:rowOff>
    </xdr:to>
    <xdr:graphicFrame macro="">
      <xdr:nvGraphicFramePr>
        <xdr:cNvPr id="40" name="Chart 39">
          <a:extLst>
            <a:ext uri="{FF2B5EF4-FFF2-40B4-BE49-F238E27FC236}">
              <a16:creationId xmlns:a16="http://schemas.microsoft.com/office/drawing/2014/main" id="{1AA2FDA1-F292-41D2-94D7-91FCF99A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619125</xdr:colOff>
      <xdr:row>18</xdr:row>
      <xdr:rowOff>171449</xdr:rowOff>
    </xdr:from>
    <xdr:to>
      <xdr:col>13</xdr:col>
      <xdr:colOff>466725</xdr:colOff>
      <xdr:row>23</xdr:row>
      <xdr:rowOff>38099</xdr:rowOff>
    </xdr:to>
    <xdr:sp macro="" textlink="Analysis!K106">
      <xdr:nvSpPr>
        <xdr:cNvPr id="11" name="TextBox 10">
          <a:extLst>
            <a:ext uri="{FF2B5EF4-FFF2-40B4-BE49-F238E27FC236}">
              <a16:creationId xmlns:a16="http://schemas.microsoft.com/office/drawing/2014/main" id="{77065E5A-422F-4F16-A110-2932885D4876}"/>
            </a:ext>
          </a:extLst>
        </xdr:cNvPr>
        <xdr:cNvSpPr txBox="1"/>
      </xdr:nvSpPr>
      <xdr:spPr>
        <a:xfrm>
          <a:off x="11420475" y="4181474"/>
          <a:ext cx="197167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0986E1-6A64-4772-A348-FC12BF4BBD04}" type="TxLink">
            <a:rPr lang="en-US" sz="1100" b="1" i="0" u="none" strike="noStrike">
              <a:solidFill>
                <a:srgbClr val="000000"/>
              </a:solidFill>
              <a:latin typeface="Aptos" panose="020B0004020202020204" pitchFamily="34" charset="0"/>
              <a:ea typeface="Calibri"/>
              <a:cs typeface="Calibri"/>
            </a:rPr>
            <a:pPr marL="0" indent="0" algn="ctr"/>
            <a:t> </a:t>
          </a:fld>
          <a:endParaRPr lang="en-US" sz="1100" b="1" i="0" u="none" strike="noStrike">
            <a:solidFill>
              <a:srgbClr val="000000"/>
            </a:solidFill>
            <a:latin typeface="Aptos" panose="020B000402020202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A PATEL" refreshedDate="46282.588986226852" backgroundQuery="1" createdVersion="8" refreshedVersion="8" minRefreshableVersion="3" recordCount="505" xr:uid="{9B6C46B8-4AB8-4D7C-8DF0-EB11E4EB422A}">
  <cacheSource type="external" connectionId="2"/>
  <cacheFields count="7">
    <cacheField name="Year" numFmtId="0">
      <sharedItems containsSemiMixedTypes="0" containsString="0" containsNumber="1" containsInteger="1" minValue="2025" maxValue="2025" count="1">
        <n v="2025"/>
      </sharedItems>
    </cacheField>
    <cacheField name="Month" numFmtId="0">
      <sharedItems count="12">
        <s v="Jan"/>
        <s v="Feb"/>
        <s v="Mar"/>
        <s v="Apr"/>
        <s v="May"/>
        <s v="Jun"/>
        <s v="Jul"/>
        <s v="Aug"/>
        <s v="Sep"/>
        <s v="Oct"/>
        <s v="Nov"/>
        <s v="Dec"/>
      </sharedItems>
    </cacheField>
    <cacheField name="Sub Category" numFmtId="0">
      <sharedItems count="40">
        <s v="Dividend"/>
        <s v="Interest"/>
        <s v="Housing EMI/Property Tax"/>
        <s v="Health Insurance"/>
        <s v="Salary"/>
        <s v="Walmart"/>
        <s v="Auto Insurance"/>
        <s v="Dentist"/>
        <s v="Home Insurance"/>
        <s v="Internet"/>
        <s v="Kroger"/>
        <s v="Electricity"/>
        <s v="Water"/>
        <s v="Gas Utility"/>
        <s v="Gas"/>
        <s v="Electric Charging"/>
        <s v="Donation"/>
        <s v="Costco"/>
        <s v="Emergency Fund"/>
        <s v="Restaurant/Take out"/>
        <s v="Gift"/>
        <s v="Netflix"/>
        <s v="Amazon Prime"/>
        <s v="Disney+"/>
        <s v="Indian Store"/>
        <s v="Sally Beauty"/>
        <s v="Pharmacy"/>
        <s v="Amazon"/>
        <s v="Salon"/>
        <s v="Vision"/>
        <s v="Vacation"/>
        <s v="kohls"/>
        <s v="Ross"/>
        <s v="Bonus"/>
        <s v="Doctor visits"/>
        <s v="Ulta beauty"/>
        <s v="Burlington"/>
        <s v="Macy's"/>
        <s v="Gas Fuel"/>
        <s v="Prime Video"/>
      </sharedItems>
    </cacheField>
    <cacheField name="Category" numFmtId="0">
      <sharedItems count="16">
        <s v="Variable"/>
        <s v="Housing"/>
        <s v="Healthcare"/>
        <s v="Fixed"/>
        <s v="Groceries"/>
        <s v="Transportation"/>
        <s v="Utilities"/>
        <s v="Home Goods"/>
        <s v="Miscellaneous"/>
        <s v="Emergency Fund"/>
        <s v="Dining"/>
        <s v="Entertainment"/>
        <s v="Personal Care"/>
        <s v="Clothing"/>
        <s v="Travel"/>
        <s v="Home Goods/Electronics" u="1"/>
      </sharedItems>
    </cacheField>
    <cacheField name="Amount" numFmtId="0">
      <sharedItems containsSemiMixedTypes="0" containsString="0" containsNumber="1" containsInteger="1" minValue="0" maxValue="9750"/>
    </cacheField>
    <cacheField name="Income/Expense" numFmtId="0">
      <sharedItems containsBlank="1" count="3">
        <s v="Income"/>
        <s v="Expense"/>
        <m u="1"/>
      </sharedItems>
    </cacheField>
    <cacheField name="Data Type" numFmtId="0">
      <sharedItems count="2">
        <s v="Actual"/>
        <s v="Budget"/>
      </sharedItems>
    </cacheField>
  </cacheFields>
  <extLst>
    <ext xmlns:x14="http://schemas.microsoft.com/office/spreadsheetml/2009/9/main" uri="{725AE2AE-9491-48be-B2B4-4EB974FC3084}">
      <x14:pivotCacheDefinition pivotCacheId="423063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x v="0"/>
    <x v="0"/>
    <x v="0"/>
    <x v="0"/>
    <n v="100"/>
    <x v="0"/>
    <x v="0"/>
  </r>
  <r>
    <x v="0"/>
    <x v="0"/>
    <x v="1"/>
    <x v="0"/>
    <n v="35"/>
    <x v="0"/>
    <x v="0"/>
  </r>
  <r>
    <x v="0"/>
    <x v="0"/>
    <x v="2"/>
    <x v="1"/>
    <n v="2712"/>
    <x v="1"/>
    <x v="0"/>
  </r>
  <r>
    <x v="0"/>
    <x v="0"/>
    <x v="3"/>
    <x v="2"/>
    <n v="250"/>
    <x v="1"/>
    <x v="0"/>
  </r>
  <r>
    <x v="0"/>
    <x v="0"/>
    <x v="4"/>
    <x v="3"/>
    <n v="3250"/>
    <x v="0"/>
    <x v="0"/>
  </r>
  <r>
    <x v="0"/>
    <x v="0"/>
    <x v="5"/>
    <x v="4"/>
    <n v="193"/>
    <x v="1"/>
    <x v="0"/>
  </r>
  <r>
    <x v="0"/>
    <x v="0"/>
    <x v="6"/>
    <x v="5"/>
    <n v="800"/>
    <x v="1"/>
    <x v="0"/>
  </r>
  <r>
    <x v="0"/>
    <x v="0"/>
    <x v="7"/>
    <x v="2"/>
    <n v="0"/>
    <x v="1"/>
    <x v="0"/>
  </r>
  <r>
    <x v="0"/>
    <x v="0"/>
    <x v="8"/>
    <x v="1"/>
    <n v="2000"/>
    <x v="1"/>
    <x v="0"/>
  </r>
  <r>
    <x v="0"/>
    <x v="0"/>
    <x v="9"/>
    <x v="6"/>
    <n v="45"/>
    <x v="1"/>
    <x v="0"/>
  </r>
  <r>
    <x v="0"/>
    <x v="0"/>
    <x v="5"/>
    <x v="7"/>
    <n v="55"/>
    <x v="1"/>
    <x v="0"/>
  </r>
  <r>
    <x v="0"/>
    <x v="0"/>
    <x v="10"/>
    <x v="4"/>
    <n v="112"/>
    <x v="1"/>
    <x v="0"/>
  </r>
  <r>
    <x v="0"/>
    <x v="0"/>
    <x v="11"/>
    <x v="6"/>
    <n v="120"/>
    <x v="1"/>
    <x v="0"/>
  </r>
  <r>
    <x v="0"/>
    <x v="0"/>
    <x v="12"/>
    <x v="6"/>
    <n v="65"/>
    <x v="1"/>
    <x v="0"/>
  </r>
  <r>
    <x v="0"/>
    <x v="0"/>
    <x v="13"/>
    <x v="6"/>
    <n v="100"/>
    <x v="1"/>
    <x v="0"/>
  </r>
  <r>
    <x v="0"/>
    <x v="0"/>
    <x v="14"/>
    <x v="5"/>
    <n v="65"/>
    <x v="1"/>
    <x v="0"/>
  </r>
  <r>
    <x v="0"/>
    <x v="0"/>
    <x v="15"/>
    <x v="5"/>
    <n v="95"/>
    <x v="1"/>
    <x v="0"/>
  </r>
  <r>
    <x v="0"/>
    <x v="0"/>
    <x v="16"/>
    <x v="8"/>
    <n v="100"/>
    <x v="1"/>
    <x v="0"/>
  </r>
  <r>
    <x v="0"/>
    <x v="0"/>
    <x v="4"/>
    <x v="3"/>
    <n v="3250"/>
    <x v="0"/>
    <x v="0"/>
  </r>
  <r>
    <x v="0"/>
    <x v="0"/>
    <x v="17"/>
    <x v="4"/>
    <n v="224"/>
    <x v="1"/>
    <x v="0"/>
  </r>
  <r>
    <x v="0"/>
    <x v="0"/>
    <x v="18"/>
    <x v="9"/>
    <n v="180"/>
    <x v="1"/>
    <x v="0"/>
  </r>
  <r>
    <x v="0"/>
    <x v="0"/>
    <x v="19"/>
    <x v="10"/>
    <n v="90"/>
    <x v="1"/>
    <x v="0"/>
  </r>
  <r>
    <x v="0"/>
    <x v="0"/>
    <x v="20"/>
    <x v="8"/>
    <n v="50"/>
    <x v="1"/>
    <x v="0"/>
  </r>
  <r>
    <x v="0"/>
    <x v="0"/>
    <x v="21"/>
    <x v="11"/>
    <n v="15"/>
    <x v="1"/>
    <x v="0"/>
  </r>
  <r>
    <x v="0"/>
    <x v="0"/>
    <x v="22"/>
    <x v="11"/>
    <n v="15"/>
    <x v="1"/>
    <x v="0"/>
  </r>
  <r>
    <x v="0"/>
    <x v="0"/>
    <x v="23"/>
    <x v="11"/>
    <n v="12"/>
    <x v="1"/>
    <x v="0"/>
  </r>
  <r>
    <x v="0"/>
    <x v="0"/>
    <x v="24"/>
    <x v="4"/>
    <n v="81"/>
    <x v="1"/>
    <x v="0"/>
  </r>
  <r>
    <x v="0"/>
    <x v="0"/>
    <x v="25"/>
    <x v="12"/>
    <n v="24"/>
    <x v="1"/>
    <x v="0"/>
  </r>
  <r>
    <x v="0"/>
    <x v="0"/>
    <x v="19"/>
    <x v="10"/>
    <n v="50"/>
    <x v="1"/>
    <x v="0"/>
  </r>
  <r>
    <x v="0"/>
    <x v="0"/>
    <x v="26"/>
    <x v="2"/>
    <n v="30"/>
    <x v="1"/>
    <x v="0"/>
  </r>
  <r>
    <x v="0"/>
    <x v="0"/>
    <x v="4"/>
    <x v="3"/>
    <n v="3250"/>
    <x v="0"/>
    <x v="0"/>
  </r>
  <r>
    <x v="0"/>
    <x v="1"/>
    <x v="3"/>
    <x v="2"/>
    <n v="250"/>
    <x v="1"/>
    <x v="0"/>
  </r>
  <r>
    <x v="0"/>
    <x v="1"/>
    <x v="1"/>
    <x v="0"/>
    <n v="45"/>
    <x v="0"/>
    <x v="0"/>
  </r>
  <r>
    <x v="0"/>
    <x v="1"/>
    <x v="2"/>
    <x v="1"/>
    <n v="2712"/>
    <x v="1"/>
    <x v="0"/>
  </r>
  <r>
    <x v="0"/>
    <x v="1"/>
    <x v="14"/>
    <x v="5"/>
    <n v="50"/>
    <x v="1"/>
    <x v="0"/>
  </r>
  <r>
    <x v="0"/>
    <x v="1"/>
    <x v="27"/>
    <x v="13"/>
    <n v="35"/>
    <x v="1"/>
    <x v="0"/>
  </r>
  <r>
    <x v="0"/>
    <x v="1"/>
    <x v="5"/>
    <x v="4"/>
    <n v="196"/>
    <x v="1"/>
    <x v="0"/>
  </r>
  <r>
    <x v="0"/>
    <x v="1"/>
    <x v="9"/>
    <x v="6"/>
    <n v="45"/>
    <x v="1"/>
    <x v="0"/>
  </r>
  <r>
    <x v="0"/>
    <x v="1"/>
    <x v="10"/>
    <x v="4"/>
    <n v="114"/>
    <x v="1"/>
    <x v="0"/>
  </r>
  <r>
    <x v="0"/>
    <x v="1"/>
    <x v="11"/>
    <x v="6"/>
    <n v="125"/>
    <x v="1"/>
    <x v="0"/>
  </r>
  <r>
    <x v="0"/>
    <x v="1"/>
    <x v="12"/>
    <x v="6"/>
    <n v="70"/>
    <x v="1"/>
    <x v="0"/>
  </r>
  <r>
    <x v="0"/>
    <x v="1"/>
    <x v="13"/>
    <x v="6"/>
    <n v="88"/>
    <x v="1"/>
    <x v="0"/>
  </r>
  <r>
    <x v="0"/>
    <x v="1"/>
    <x v="4"/>
    <x v="3"/>
    <n v="3250"/>
    <x v="0"/>
    <x v="0"/>
  </r>
  <r>
    <x v="0"/>
    <x v="1"/>
    <x v="17"/>
    <x v="7"/>
    <n v="120"/>
    <x v="1"/>
    <x v="0"/>
  </r>
  <r>
    <x v="0"/>
    <x v="1"/>
    <x v="15"/>
    <x v="5"/>
    <n v="45"/>
    <x v="1"/>
    <x v="0"/>
  </r>
  <r>
    <x v="0"/>
    <x v="1"/>
    <x v="16"/>
    <x v="8"/>
    <n v="100"/>
    <x v="1"/>
    <x v="0"/>
  </r>
  <r>
    <x v="0"/>
    <x v="1"/>
    <x v="17"/>
    <x v="4"/>
    <n v="228"/>
    <x v="1"/>
    <x v="0"/>
  </r>
  <r>
    <x v="0"/>
    <x v="1"/>
    <x v="19"/>
    <x v="10"/>
    <n v="95"/>
    <x v="1"/>
    <x v="0"/>
  </r>
  <r>
    <x v="0"/>
    <x v="1"/>
    <x v="20"/>
    <x v="8"/>
    <n v="50"/>
    <x v="1"/>
    <x v="0"/>
  </r>
  <r>
    <x v="0"/>
    <x v="1"/>
    <x v="21"/>
    <x v="11"/>
    <n v="15"/>
    <x v="1"/>
    <x v="0"/>
  </r>
  <r>
    <x v="0"/>
    <x v="1"/>
    <x v="22"/>
    <x v="11"/>
    <n v="15"/>
    <x v="1"/>
    <x v="0"/>
  </r>
  <r>
    <x v="0"/>
    <x v="1"/>
    <x v="23"/>
    <x v="11"/>
    <n v="12"/>
    <x v="1"/>
    <x v="0"/>
  </r>
  <r>
    <x v="0"/>
    <x v="1"/>
    <x v="24"/>
    <x v="4"/>
    <n v="82"/>
    <x v="1"/>
    <x v="0"/>
  </r>
  <r>
    <x v="0"/>
    <x v="1"/>
    <x v="28"/>
    <x v="12"/>
    <n v="65"/>
    <x v="1"/>
    <x v="0"/>
  </r>
  <r>
    <x v="0"/>
    <x v="1"/>
    <x v="19"/>
    <x v="10"/>
    <n v="55"/>
    <x v="1"/>
    <x v="0"/>
  </r>
  <r>
    <x v="0"/>
    <x v="1"/>
    <x v="26"/>
    <x v="2"/>
    <n v="40"/>
    <x v="1"/>
    <x v="0"/>
  </r>
  <r>
    <x v="0"/>
    <x v="1"/>
    <x v="4"/>
    <x v="3"/>
    <n v="3250"/>
    <x v="0"/>
    <x v="0"/>
  </r>
  <r>
    <x v="0"/>
    <x v="2"/>
    <x v="3"/>
    <x v="2"/>
    <n v="250"/>
    <x v="1"/>
    <x v="0"/>
  </r>
  <r>
    <x v="0"/>
    <x v="2"/>
    <x v="1"/>
    <x v="0"/>
    <n v="40"/>
    <x v="0"/>
    <x v="0"/>
  </r>
  <r>
    <x v="0"/>
    <x v="2"/>
    <x v="2"/>
    <x v="1"/>
    <n v="2712"/>
    <x v="1"/>
    <x v="0"/>
  </r>
  <r>
    <x v="0"/>
    <x v="2"/>
    <x v="5"/>
    <x v="4"/>
    <n v="199"/>
    <x v="1"/>
    <x v="0"/>
  </r>
  <r>
    <x v="0"/>
    <x v="2"/>
    <x v="9"/>
    <x v="6"/>
    <n v="45"/>
    <x v="1"/>
    <x v="0"/>
  </r>
  <r>
    <x v="0"/>
    <x v="2"/>
    <x v="29"/>
    <x v="2"/>
    <n v="40"/>
    <x v="1"/>
    <x v="0"/>
  </r>
  <r>
    <x v="0"/>
    <x v="2"/>
    <x v="10"/>
    <x v="4"/>
    <n v="116"/>
    <x v="1"/>
    <x v="0"/>
  </r>
  <r>
    <x v="0"/>
    <x v="2"/>
    <x v="11"/>
    <x v="6"/>
    <n v="120"/>
    <x v="1"/>
    <x v="0"/>
  </r>
  <r>
    <x v="0"/>
    <x v="2"/>
    <x v="12"/>
    <x v="6"/>
    <n v="62"/>
    <x v="1"/>
    <x v="0"/>
  </r>
  <r>
    <x v="0"/>
    <x v="2"/>
    <x v="13"/>
    <x v="6"/>
    <n v="70"/>
    <x v="1"/>
    <x v="0"/>
  </r>
  <r>
    <x v="0"/>
    <x v="2"/>
    <x v="4"/>
    <x v="3"/>
    <n v="3250"/>
    <x v="0"/>
    <x v="0"/>
  </r>
  <r>
    <x v="0"/>
    <x v="2"/>
    <x v="15"/>
    <x v="5"/>
    <n v="84"/>
    <x v="1"/>
    <x v="0"/>
  </r>
  <r>
    <x v="0"/>
    <x v="2"/>
    <x v="16"/>
    <x v="8"/>
    <n v="100"/>
    <x v="1"/>
    <x v="0"/>
  </r>
  <r>
    <x v="0"/>
    <x v="2"/>
    <x v="17"/>
    <x v="4"/>
    <n v="232"/>
    <x v="1"/>
    <x v="0"/>
  </r>
  <r>
    <x v="0"/>
    <x v="2"/>
    <x v="19"/>
    <x v="10"/>
    <n v="100"/>
    <x v="1"/>
    <x v="0"/>
  </r>
  <r>
    <x v="0"/>
    <x v="2"/>
    <x v="30"/>
    <x v="14"/>
    <n v="1150"/>
    <x v="1"/>
    <x v="0"/>
  </r>
  <r>
    <x v="0"/>
    <x v="2"/>
    <x v="20"/>
    <x v="8"/>
    <n v="50"/>
    <x v="1"/>
    <x v="0"/>
  </r>
  <r>
    <x v="0"/>
    <x v="2"/>
    <x v="21"/>
    <x v="11"/>
    <n v="15"/>
    <x v="1"/>
    <x v="0"/>
  </r>
  <r>
    <x v="0"/>
    <x v="2"/>
    <x v="14"/>
    <x v="5"/>
    <n v="76"/>
    <x v="1"/>
    <x v="0"/>
  </r>
  <r>
    <x v="0"/>
    <x v="2"/>
    <x v="22"/>
    <x v="11"/>
    <n v="15"/>
    <x v="1"/>
    <x v="0"/>
  </r>
  <r>
    <x v="0"/>
    <x v="2"/>
    <x v="24"/>
    <x v="4"/>
    <n v="83"/>
    <x v="1"/>
    <x v="0"/>
  </r>
  <r>
    <x v="0"/>
    <x v="2"/>
    <x v="31"/>
    <x v="13"/>
    <n v="58"/>
    <x v="1"/>
    <x v="0"/>
  </r>
  <r>
    <x v="0"/>
    <x v="2"/>
    <x v="19"/>
    <x v="10"/>
    <n v="60"/>
    <x v="1"/>
    <x v="0"/>
  </r>
  <r>
    <x v="0"/>
    <x v="2"/>
    <x v="26"/>
    <x v="2"/>
    <n v="110"/>
    <x v="1"/>
    <x v="0"/>
  </r>
  <r>
    <x v="0"/>
    <x v="2"/>
    <x v="4"/>
    <x v="3"/>
    <n v="3250"/>
    <x v="0"/>
    <x v="0"/>
  </r>
  <r>
    <x v="0"/>
    <x v="3"/>
    <x v="3"/>
    <x v="2"/>
    <n v="250"/>
    <x v="1"/>
    <x v="0"/>
  </r>
  <r>
    <x v="0"/>
    <x v="3"/>
    <x v="1"/>
    <x v="0"/>
    <n v="40"/>
    <x v="0"/>
    <x v="0"/>
  </r>
  <r>
    <x v="0"/>
    <x v="3"/>
    <x v="2"/>
    <x v="1"/>
    <n v="2712"/>
    <x v="1"/>
    <x v="0"/>
  </r>
  <r>
    <x v="0"/>
    <x v="3"/>
    <x v="5"/>
    <x v="4"/>
    <n v="202"/>
    <x v="1"/>
    <x v="0"/>
  </r>
  <r>
    <x v="0"/>
    <x v="3"/>
    <x v="9"/>
    <x v="6"/>
    <n v="45"/>
    <x v="1"/>
    <x v="0"/>
  </r>
  <r>
    <x v="0"/>
    <x v="3"/>
    <x v="10"/>
    <x v="4"/>
    <n v="118"/>
    <x v="1"/>
    <x v="0"/>
  </r>
  <r>
    <x v="0"/>
    <x v="3"/>
    <x v="4"/>
    <x v="3"/>
    <n v="3250"/>
    <x v="0"/>
    <x v="0"/>
  </r>
  <r>
    <x v="0"/>
    <x v="3"/>
    <x v="11"/>
    <x v="6"/>
    <n v="120"/>
    <x v="1"/>
    <x v="0"/>
  </r>
  <r>
    <x v="0"/>
    <x v="3"/>
    <x v="12"/>
    <x v="6"/>
    <n v="65"/>
    <x v="1"/>
    <x v="0"/>
  </r>
  <r>
    <x v="0"/>
    <x v="3"/>
    <x v="32"/>
    <x v="13"/>
    <n v="90"/>
    <x v="1"/>
    <x v="0"/>
  </r>
  <r>
    <x v="0"/>
    <x v="3"/>
    <x v="13"/>
    <x v="6"/>
    <n v="40"/>
    <x v="1"/>
    <x v="0"/>
  </r>
  <r>
    <x v="0"/>
    <x v="3"/>
    <x v="33"/>
    <x v="0"/>
    <n v="300"/>
    <x v="0"/>
    <x v="0"/>
  </r>
  <r>
    <x v="0"/>
    <x v="3"/>
    <x v="15"/>
    <x v="5"/>
    <n v="35"/>
    <x v="1"/>
    <x v="0"/>
  </r>
  <r>
    <x v="0"/>
    <x v="3"/>
    <x v="16"/>
    <x v="8"/>
    <n v="100"/>
    <x v="1"/>
    <x v="0"/>
  </r>
  <r>
    <x v="0"/>
    <x v="3"/>
    <x v="17"/>
    <x v="4"/>
    <n v="236"/>
    <x v="1"/>
    <x v="0"/>
  </r>
  <r>
    <x v="0"/>
    <x v="3"/>
    <x v="19"/>
    <x v="10"/>
    <n v="105"/>
    <x v="1"/>
    <x v="0"/>
  </r>
  <r>
    <x v="0"/>
    <x v="3"/>
    <x v="20"/>
    <x v="8"/>
    <n v="50"/>
    <x v="1"/>
    <x v="0"/>
  </r>
  <r>
    <x v="0"/>
    <x v="3"/>
    <x v="21"/>
    <x v="11"/>
    <n v="15"/>
    <x v="1"/>
    <x v="0"/>
  </r>
  <r>
    <x v="0"/>
    <x v="3"/>
    <x v="22"/>
    <x v="11"/>
    <n v="15"/>
    <x v="1"/>
    <x v="0"/>
  </r>
  <r>
    <x v="0"/>
    <x v="3"/>
    <x v="24"/>
    <x v="4"/>
    <n v="84"/>
    <x v="1"/>
    <x v="0"/>
  </r>
  <r>
    <x v="0"/>
    <x v="3"/>
    <x v="14"/>
    <x v="5"/>
    <n v="40"/>
    <x v="1"/>
    <x v="0"/>
  </r>
  <r>
    <x v="0"/>
    <x v="3"/>
    <x v="4"/>
    <x v="3"/>
    <n v="3250"/>
    <x v="0"/>
    <x v="0"/>
  </r>
  <r>
    <x v="0"/>
    <x v="3"/>
    <x v="28"/>
    <x v="12"/>
    <n v="25"/>
    <x v="1"/>
    <x v="0"/>
  </r>
  <r>
    <x v="0"/>
    <x v="3"/>
    <x v="18"/>
    <x v="9"/>
    <n v="200"/>
    <x v="1"/>
    <x v="0"/>
  </r>
  <r>
    <x v="0"/>
    <x v="3"/>
    <x v="19"/>
    <x v="10"/>
    <n v="45"/>
    <x v="1"/>
    <x v="0"/>
  </r>
  <r>
    <x v="0"/>
    <x v="3"/>
    <x v="26"/>
    <x v="2"/>
    <n v="35"/>
    <x v="1"/>
    <x v="0"/>
  </r>
  <r>
    <x v="0"/>
    <x v="4"/>
    <x v="3"/>
    <x v="2"/>
    <n v="250"/>
    <x v="1"/>
    <x v="0"/>
  </r>
  <r>
    <x v="0"/>
    <x v="4"/>
    <x v="1"/>
    <x v="0"/>
    <n v="35"/>
    <x v="0"/>
    <x v="0"/>
  </r>
  <r>
    <x v="0"/>
    <x v="4"/>
    <x v="2"/>
    <x v="1"/>
    <n v="2712"/>
    <x v="1"/>
    <x v="0"/>
  </r>
  <r>
    <x v="0"/>
    <x v="4"/>
    <x v="9"/>
    <x v="6"/>
    <n v="45"/>
    <x v="1"/>
    <x v="0"/>
  </r>
  <r>
    <x v="0"/>
    <x v="4"/>
    <x v="5"/>
    <x v="4"/>
    <n v="205"/>
    <x v="1"/>
    <x v="0"/>
  </r>
  <r>
    <x v="0"/>
    <x v="4"/>
    <x v="14"/>
    <x v="5"/>
    <n v="70"/>
    <x v="1"/>
    <x v="0"/>
  </r>
  <r>
    <x v="0"/>
    <x v="4"/>
    <x v="4"/>
    <x v="3"/>
    <n v="3250"/>
    <x v="0"/>
    <x v="0"/>
  </r>
  <r>
    <x v="0"/>
    <x v="4"/>
    <x v="27"/>
    <x v="7"/>
    <n v="69"/>
    <x v="1"/>
    <x v="0"/>
  </r>
  <r>
    <x v="0"/>
    <x v="4"/>
    <x v="10"/>
    <x v="4"/>
    <n v="120"/>
    <x v="1"/>
    <x v="0"/>
  </r>
  <r>
    <x v="0"/>
    <x v="4"/>
    <x v="11"/>
    <x v="6"/>
    <n v="120"/>
    <x v="1"/>
    <x v="0"/>
  </r>
  <r>
    <x v="0"/>
    <x v="4"/>
    <x v="12"/>
    <x v="6"/>
    <n v="70"/>
    <x v="1"/>
    <x v="0"/>
  </r>
  <r>
    <x v="0"/>
    <x v="4"/>
    <x v="13"/>
    <x v="6"/>
    <n v="28"/>
    <x v="1"/>
    <x v="0"/>
  </r>
  <r>
    <x v="0"/>
    <x v="4"/>
    <x v="15"/>
    <x v="5"/>
    <n v="80"/>
    <x v="1"/>
    <x v="0"/>
  </r>
  <r>
    <x v="0"/>
    <x v="4"/>
    <x v="16"/>
    <x v="8"/>
    <n v="100"/>
    <x v="1"/>
    <x v="0"/>
  </r>
  <r>
    <x v="0"/>
    <x v="4"/>
    <x v="17"/>
    <x v="4"/>
    <n v="240"/>
    <x v="1"/>
    <x v="0"/>
  </r>
  <r>
    <x v="0"/>
    <x v="4"/>
    <x v="19"/>
    <x v="10"/>
    <n v="85"/>
    <x v="1"/>
    <x v="0"/>
  </r>
  <r>
    <x v="0"/>
    <x v="4"/>
    <x v="20"/>
    <x v="8"/>
    <n v="60"/>
    <x v="1"/>
    <x v="0"/>
  </r>
  <r>
    <x v="0"/>
    <x v="4"/>
    <x v="21"/>
    <x v="11"/>
    <n v="15"/>
    <x v="1"/>
    <x v="0"/>
  </r>
  <r>
    <x v="0"/>
    <x v="4"/>
    <x v="22"/>
    <x v="11"/>
    <n v="15"/>
    <x v="1"/>
    <x v="0"/>
  </r>
  <r>
    <x v="0"/>
    <x v="4"/>
    <x v="4"/>
    <x v="3"/>
    <n v="3250"/>
    <x v="0"/>
    <x v="0"/>
  </r>
  <r>
    <x v="0"/>
    <x v="4"/>
    <x v="27"/>
    <x v="13"/>
    <n v="45"/>
    <x v="1"/>
    <x v="0"/>
  </r>
  <r>
    <x v="0"/>
    <x v="4"/>
    <x v="24"/>
    <x v="4"/>
    <n v="85"/>
    <x v="1"/>
    <x v="0"/>
  </r>
  <r>
    <x v="0"/>
    <x v="4"/>
    <x v="25"/>
    <x v="12"/>
    <n v="32"/>
    <x v="1"/>
    <x v="0"/>
  </r>
  <r>
    <x v="0"/>
    <x v="4"/>
    <x v="19"/>
    <x v="10"/>
    <n v="50"/>
    <x v="1"/>
    <x v="0"/>
  </r>
  <r>
    <x v="0"/>
    <x v="4"/>
    <x v="26"/>
    <x v="2"/>
    <n v="32"/>
    <x v="1"/>
    <x v="0"/>
  </r>
  <r>
    <x v="0"/>
    <x v="5"/>
    <x v="3"/>
    <x v="2"/>
    <n v="250"/>
    <x v="1"/>
    <x v="0"/>
  </r>
  <r>
    <x v="0"/>
    <x v="5"/>
    <x v="1"/>
    <x v="0"/>
    <n v="40"/>
    <x v="0"/>
    <x v="0"/>
  </r>
  <r>
    <x v="0"/>
    <x v="5"/>
    <x v="2"/>
    <x v="1"/>
    <n v="2712"/>
    <x v="1"/>
    <x v="0"/>
  </r>
  <r>
    <x v="0"/>
    <x v="5"/>
    <x v="9"/>
    <x v="6"/>
    <n v="45"/>
    <x v="1"/>
    <x v="0"/>
  </r>
  <r>
    <x v="0"/>
    <x v="5"/>
    <x v="31"/>
    <x v="13"/>
    <n v="150"/>
    <x v="1"/>
    <x v="0"/>
  </r>
  <r>
    <x v="0"/>
    <x v="5"/>
    <x v="5"/>
    <x v="4"/>
    <n v="208"/>
    <x v="1"/>
    <x v="0"/>
  </r>
  <r>
    <x v="0"/>
    <x v="5"/>
    <x v="4"/>
    <x v="3"/>
    <n v="3250"/>
    <x v="0"/>
    <x v="0"/>
  </r>
  <r>
    <x v="0"/>
    <x v="5"/>
    <x v="10"/>
    <x v="4"/>
    <n v="122"/>
    <x v="1"/>
    <x v="0"/>
  </r>
  <r>
    <x v="0"/>
    <x v="5"/>
    <x v="11"/>
    <x v="6"/>
    <n v="200"/>
    <x v="1"/>
    <x v="0"/>
  </r>
  <r>
    <x v="0"/>
    <x v="5"/>
    <x v="12"/>
    <x v="6"/>
    <n v="60"/>
    <x v="1"/>
    <x v="0"/>
  </r>
  <r>
    <x v="0"/>
    <x v="5"/>
    <x v="13"/>
    <x v="6"/>
    <n v="22"/>
    <x v="1"/>
    <x v="0"/>
  </r>
  <r>
    <x v="0"/>
    <x v="5"/>
    <x v="15"/>
    <x v="5"/>
    <n v="100"/>
    <x v="1"/>
    <x v="0"/>
  </r>
  <r>
    <x v="0"/>
    <x v="5"/>
    <x v="16"/>
    <x v="8"/>
    <n v="100"/>
    <x v="1"/>
    <x v="0"/>
  </r>
  <r>
    <x v="0"/>
    <x v="5"/>
    <x v="17"/>
    <x v="4"/>
    <n v="244"/>
    <x v="1"/>
    <x v="0"/>
  </r>
  <r>
    <x v="0"/>
    <x v="5"/>
    <x v="19"/>
    <x v="10"/>
    <n v="90"/>
    <x v="1"/>
    <x v="0"/>
  </r>
  <r>
    <x v="0"/>
    <x v="5"/>
    <x v="30"/>
    <x v="14"/>
    <n v="890"/>
    <x v="1"/>
    <x v="0"/>
  </r>
  <r>
    <x v="0"/>
    <x v="5"/>
    <x v="20"/>
    <x v="8"/>
    <n v="50"/>
    <x v="1"/>
    <x v="0"/>
  </r>
  <r>
    <x v="0"/>
    <x v="5"/>
    <x v="4"/>
    <x v="3"/>
    <n v="3250"/>
    <x v="0"/>
    <x v="0"/>
  </r>
  <r>
    <x v="0"/>
    <x v="5"/>
    <x v="21"/>
    <x v="11"/>
    <n v="15"/>
    <x v="1"/>
    <x v="0"/>
  </r>
  <r>
    <x v="0"/>
    <x v="5"/>
    <x v="22"/>
    <x v="11"/>
    <n v="15"/>
    <x v="1"/>
    <x v="0"/>
  </r>
  <r>
    <x v="0"/>
    <x v="5"/>
    <x v="14"/>
    <x v="5"/>
    <n v="77"/>
    <x v="1"/>
    <x v="0"/>
  </r>
  <r>
    <x v="0"/>
    <x v="5"/>
    <x v="24"/>
    <x v="4"/>
    <n v="86"/>
    <x v="1"/>
    <x v="0"/>
  </r>
  <r>
    <x v="0"/>
    <x v="5"/>
    <x v="34"/>
    <x v="2"/>
    <n v="120"/>
    <x v="1"/>
    <x v="0"/>
  </r>
  <r>
    <x v="0"/>
    <x v="5"/>
    <x v="28"/>
    <x v="12"/>
    <n v="95"/>
    <x v="1"/>
    <x v="0"/>
  </r>
  <r>
    <x v="0"/>
    <x v="5"/>
    <x v="19"/>
    <x v="10"/>
    <n v="55"/>
    <x v="1"/>
    <x v="0"/>
  </r>
  <r>
    <x v="0"/>
    <x v="5"/>
    <x v="26"/>
    <x v="2"/>
    <n v="38"/>
    <x v="1"/>
    <x v="0"/>
  </r>
  <r>
    <x v="0"/>
    <x v="6"/>
    <x v="3"/>
    <x v="2"/>
    <n v="250"/>
    <x v="1"/>
    <x v="0"/>
  </r>
  <r>
    <x v="0"/>
    <x v="6"/>
    <x v="0"/>
    <x v="0"/>
    <n v="75"/>
    <x v="0"/>
    <x v="0"/>
  </r>
  <r>
    <x v="0"/>
    <x v="6"/>
    <x v="1"/>
    <x v="0"/>
    <n v="35"/>
    <x v="0"/>
    <x v="0"/>
  </r>
  <r>
    <x v="0"/>
    <x v="6"/>
    <x v="2"/>
    <x v="1"/>
    <n v="2712"/>
    <x v="1"/>
    <x v="0"/>
  </r>
  <r>
    <x v="0"/>
    <x v="6"/>
    <x v="6"/>
    <x v="5"/>
    <n v="800"/>
    <x v="1"/>
    <x v="0"/>
  </r>
  <r>
    <x v="0"/>
    <x v="6"/>
    <x v="5"/>
    <x v="4"/>
    <n v="211"/>
    <x v="1"/>
    <x v="0"/>
  </r>
  <r>
    <x v="0"/>
    <x v="6"/>
    <x v="4"/>
    <x v="3"/>
    <n v="3250"/>
    <x v="0"/>
    <x v="0"/>
  </r>
  <r>
    <x v="0"/>
    <x v="6"/>
    <x v="9"/>
    <x v="6"/>
    <n v="45"/>
    <x v="1"/>
    <x v="0"/>
  </r>
  <r>
    <x v="0"/>
    <x v="6"/>
    <x v="3"/>
    <x v="2"/>
    <n v="0"/>
    <x v="1"/>
    <x v="0"/>
  </r>
  <r>
    <x v="0"/>
    <x v="6"/>
    <x v="18"/>
    <x v="9"/>
    <n v="450"/>
    <x v="1"/>
    <x v="0"/>
  </r>
  <r>
    <x v="0"/>
    <x v="6"/>
    <x v="10"/>
    <x v="4"/>
    <n v="124"/>
    <x v="1"/>
    <x v="0"/>
  </r>
  <r>
    <x v="0"/>
    <x v="6"/>
    <x v="11"/>
    <x v="6"/>
    <n v="230"/>
    <x v="1"/>
    <x v="0"/>
  </r>
  <r>
    <x v="0"/>
    <x v="6"/>
    <x v="27"/>
    <x v="13"/>
    <n v="25"/>
    <x v="1"/>
    <x v="0"/>
  </r>
  <r>
    <x v="0"/>
    <x v="6"/>
    <x v="12"/>
    <x v="6"/>
    <n v="70"/>
    <x v="1"/>
    <x v="0"/>
  </r>
  <r>
    <x v="0"/>
    <x v="6"/>
    <x v="13"/>
    <x v="6"/>
    <n v="35"/>
    <x v="1"/>
    <x v="0"/>
  </r>
  <r>
    <x v="0"/>
    <x v="6"/>
    <x v="15"/>
    <x v="5"/>
    <n v="98"/>
    <x v="1"/>
    <x v="0"/>
  </r>
  <r>
    <x v="0"/>
    <x v="6"/>
    <x v="16"/>
    <x v="8"/>
    <n v="100"/>
    <x v="1"/>
    <x v="0"/>
  </r>
  <r>
    <x v="0"/>
    <x v="6"/>
    <x v="17"/>
    <x v="4"/>
    <n v="248"/>
    <x v="1"/>
    <x v="0"/>
  </r>
  <r>
    <x v="0"/>
    <x v="6"/>
    <x v="4"/>
    <x v="3"/>
    <n v="3250"/>
    <x v="0"/>
    <x v="0"/>
  </r>
  <r>
    <x v="0"/>
    <x v="6"/>
    <x v="19"/>
    <x v="10"/>
    <n v="95"/>
    <x v="1"/>
    <x v="0"/>
  </r>
  <r>
    <x v="0"/>
    <x v="6"/>
    <x v="30"/>
    <x v="14"/>
    <n v="720"/>
    <x v="1"/>
    <x v="0"/>
  </r>
  <r>
    <x v="0"/>
    <x v="6"/>
    <x v="20"/>
    <x v="8"/>
    <n v="50"/>
    <x v="1"/>
    <x v="0"/>
  </r>
  <r>
    <x v="0"/>
    <x v="6"/>
    <x v="21"/>
    <x v="11"/>
    <n v="15"/>
    <x v="1"/>
    <x v="0"/>
  </r>
  <r>
    <x v="0"/>
    <x v="6"/>
    <x v="14"/>
    <x v="5"/>
    <n v="85"/>
    <x v="1"/>
    <x v="0"/>
  </r>
  <r>
    <x v="0"/>
    <x v="6"/>
    <x v="22"/>
    <x v="11"/>
    <n v="15"/>
    <x v="1"/>
    <x v="0"/>
  </r>
  <r>
    <x v="0"/>
    <x v="6"/>
    <x v="5"/>
    <x v="7"/>
    <n v="70"/>
    <x v="1"/>
    <x v="0"/>
  </r>
  <r>
    <x v="0"/>
    <x v="6"/>
    <x v="23"/>
    <x v="11"/>
    <n v="12"/>
    <x v="1"/>
    <x v="0"/>
  </r>
  <r>
    <x v="0"/>
    <x v="6"/>
    <x v="24"/>
    <x v="4"/>
    <n v="87"/>
    <x v="1"/>
    <x v="0"/>
  </r>
  <r>
    <x v="0"/>
    <x v="6"/>
    <x v="35"/>
    <x v="12"/>
    <n v="60"/>
    <x v="1"/>
    <x v="0"/>
  </r>
  <r>
    <x v="0"/>
    <x v="6"/>
    <x v="19"/>
    <x v="10"/>
    <n v="60"/>
    <x v="1"/>
    <x v="0"/>
  </r>
  <r>
    <x v="0"/>
    <x v="6"/>
    <x v="26"/>
    <x v="2"/>
    <n v="40"/>
    <x v="1"/>
    <x v="0"/>
  </r>
  <r>
    <x v="0"/>
    <x v="7"/>
    <x v="3"/>
    <x v="2"/>
    <n v="250"/>
    <x v="1"/>
    <x v="0"/>
  </r>
  <r>
    <x v="0"/>
    <x v="7"/>
    <x v="4"/>
    <x v="3"/>
    <n v="3250"/>
    <x v="0"/>
    <x v="0"/>
  </r>
  <r>
    <x v="0"/>
    <x v="7"/>
    <x v="1"/>
    <x v="0"/>
    <n v="40"/>
    <x v="0"/>
    <x v="0"/>
  </r>
  <r>
    <x v="0"/>
    <x v="7"/>
    <x v="2"/>
    <x v="1"/>
    <n v="2712"/>
    <x v="1"/>
    <x v="0"/>
  </r>
  <r>
    <x v="0"/>
    <x v="7"/>
    <x v="27"/>
    <x v="13"/>
    <n v="15"/>
    <x v="1"/>
    <x v="0"/>
  </r>
  <r>
    <x v="0"/>
    <x v="7"/>
    <x v="9"/>
    <x v="6"/>
    <n v="45"/>
    <x v="1"/>
    <x v="0"/>
  </r>
  <r>
    <x v="0"/>
    <x v="7"/>
    <x v="5"/>
    <x v="4"/>
    <n v="214"/>
    <x v="1"/>
    <x v="0"/>
  </r>
  <r>
    <x v="0"/>
    <x v="7"/>
    <x v="10"/>
    <x v="4"/>
    <n v="126"/>
    <x v="1"/>
    <x v="0"/>
  </r>
  <r>
    <x v="0"/>
    <x v="7"/>
    <x v="5"/>
    <x v="7"/>
    <n v="45"/>
    <x v="1"/>
    <x v="0"/>
  </r>
  <r>
    <x v="0"/>
    <x v="7"/>
    <x v="11"/>
    <x v="6"/>
    <n v="222"/>
    <x v="1"/>
    <x v="0"/>
  </r>
  <r>
    <x v="0"/>
    <x v="7"/>
    <x v="12"/>
    <x v="6"/>
    <n v="70"/>
    <x v="1"/>
    <x v="0"/>
  </r>
  <r>
    <x v="0"/>
    <x v="7"/>
    <x v="13"/>
    <x v="6"/>
    <n v="20"/>
    <x v="1"/>
    <x v="0"/>
  </r>
  <r>
    <x v="0"/>
    <x v="7"/>
    <x v="14"/>
    <x v="5"/>
    <n v="75"/>
    <x v="1"/>
    <x v="0"/>
  </r>
  <r>
    <x v="0"/>
    <x v="7"/>
    <x v="4"/>
    <x v="3"/>
    <n v="3250"/>
    <x v="0"/>
    <x v="0"/>
  </r>
  <r>
    <x v="0"/>
    <x v="7"/>
    <x v="15"/>
    <x v="5"/>
    <n v="85"/>
    <x v="1"/>
    <x v="0"/>
  </r>
  <r>
    <x v="0"/>
    <x v="7"/>
    <x v="16"/>
    <x v="8"/>
    <n v="100"/>
    <x v="1"/>
    <x v="0"/>
  </r>
  <r>
    <x v="0"/>
    <x v="7"/>
    <x v="17"/>
    <x v="4"/>
    <n v="252"/>
    <x v="1"/>
    <x v="0"/>
  </r>
  <r>
    <x v="0"/>
    <x v="7"/>
    <x v="19"/>
    <x v="10"/>
    <n v="100"/>
    <x v="1"/>
    <x v="0"/>
  </r>
  <r>
    <x v="0"/>
    <x v="7"/>
    <x v="20"/>
    <x v="8"/>
    <n v="50"/>
    <x v="1"/>
    <x v="0"/>
  </r>
  <r>
    <x v="0"/>
    <x v="7"/>
    <x v="21"/>
    <x v="11"/>
    <n v="15"/>
    <x v="1"/>
    <x v="0"/>
  </r>
  <r>
    <x v="0"/>
    <x v="7"/>
    <x v="22"/>
    <x v="11"/>
    <n v="15"/>
    <x v="1"/>
    <x v="0"/>
  </r>
  <r>
    <x v="0"/>
    <x v="7"/>
    <x v="23"/>
    <x v="11"/>
    <n v="12"/>
    <x v="1"/>
    <x v="0"/>
  </r>
  <r>
    <x v="0"/>
    <x v="7"/>
    <x v="24"/>
    <x v="4"/>
    <n v="88"/>
    <x v="1"/>
    <x v="0"/>
  </r>
  <r>
    <x v="0"/>
    <x v="7"/>
    <x v="19"/>
    <x v="10"/>
    <n v="45"/>
    <x v="1"/>
    <x v="0"/>
  </r>
  <r>
    <x v="0"/>
    <x v="7"/>
    <x v="26"/>
    <x v="2"/>
    <n v="35"/>
    <x v="1"/>
    <x v="0"/>
  </r>
  <r>
    <x v="0"/>
    <x v="7"/>
    <x v="4"/>
    <x v="3"/>
    <n v="3250"/>
    <x v="0"/>
    <x v="0"/>
  </r>
  <r>
    <x v="0"/>
    <x v="8"/>
    <x v="3"/>
    <x v="2"/>
    <n v="250"/>
    <x v="1"/>
    <x v="0"/>
  </r>
  <r>
    <x v="0"/>
    <x v="8"/>
    <x v="1"/>
    <x v="0"/>
    <n v="40"/>
    <x v="0"/>
    <x v="0"/>
  </r>
  <r>
    <x v="0"/>
    <x v="8"/>
    <x v="2"/>
    <x v="1"/>
    <n v="2712"/>
    <x v="1"/>
    <x v="0"/>
  </r>
  <r>
    <x v="0"/>
    <x v="8"/>
    <x v="18"/>
    <x v="9"/>
    <n v="390"/>
    <x v="1"/>
    <x v="0"/>
  </r>
  <r>
    <x v="0"/>
    <x v="8"/>
    <x v="14"/>
    <x v="5"/>
    <n v="35"/>
    <x v="1"/>
    <x v="0"/>
  </r>
  <r>
    <x v="0"/>
    <x v="8"/>
    <x v="9"/>
    <x v="6"/>
    <n v="44"/>
    <x v="1"/>
    <x v="0"/>
  </r>
  <r>
    <x v="0"/>
    <x v="8"/>
    <x v="5"/>
    <x v="4"/>
    <n v="217"/>
    <x v="1"/>
    <x v="0"/>
  </r>
  <r>
    <x v="0"/>
    <x v="8"/>
    <x v="10"/>
    <x v="4"/>
    <n v="128"/>
    <x v="1"/>
    <x v="0"/>
  </r>
  <r>
    <x v="0"/>
    <x v="8"/>
    <x v="11"/>
    <x v="6"/>
    <n v="165"/>
    <x v="1"/>
    <x v="0"/>
  </r>
  <r>
    <x v="0"/>
    <x v="8"/>
    <x v="34"/>
    <x v="2"/>
    <n v="145"/>
    <x v="1"/>
    <x v="0"/>
  </r>
  <r>
    <x v="0"/>
    <x v="8"/>
    <x v="4"/>
    <x v="3"/>
    <n v="3250"/>
    <x v="0"/>
    <x v="0"/>
  </r>
  <r>
    <x v="0"/>
    <x v="8"/>
    <x v="12"/>
    <x v="6"/>
    <n v="60"/>
    <x v="1"/>
    <x v="0"/>
  </r>
  <r>
    <x v="0"/>
    <x v="8"/>
    <x v="13"/>
    <x v="6"/>
    <n v="25"/>
    <x v="1"/>
    <x v="0"/>
  </r>
  <r>
    <x v="0"/>
    <x v="8"/>
    <x v="15"/>
    <x v="5"/>
    <n v="40"/>
    <x v="1"/>
    <x v="0"/>
  </r>
  <r>
    <x v="0"/>
    <x v="8"/>
    <x v="16"/>
    <x v="8"/>
    <n v="100"/>
    <x v="1"/>
    <x v="0"/>
  </r>
  <r>
    <x v="0"/>
    <x v="8"/>
    <x v="17"/>
    <x v="4"/>
    <n v="256"/>
    <x v="1"/>
    <x v="0"/>
  </r>
  <r>
    <x v="0"/>
    <x v="8"/>
    <x v="19"/>
    <x v="10"/>
    <n v="105"/>
    <x v="1"/>
    <x v="0"/>
  </r>
  <r>
    <x v="0"/>
    <x v="8"/>
    <x v="20"/>
    <x v="8"/>
    <n v="50"/>
    <x v="1"/>
    <x v="0"/>
  </r>
  <r>
    <x v="0"/>
    <x v="8"/>
    <x v="21"/>
    <x v="11"/>
    <n v="15"/>
    <x v="1"/>
    <x v="0"/>
  </r>
  <r>
    <x v="0"/>
    <x v="8"/>
    <x v="22"/>
    <x v="11"/>
    <n v="15"/>
    <x v="1"/>
    <x v="0"/>
  </r>
  <r>
    <x v="0"/>
    <x v="8"/>
    <x v="23"/>
    <x v="11"/>
    <n v="12"/>
    <x v="1"/>
    <x v="0"/>
  </r>
  <r>
    <x v="0"/>
    <x v="8"/>
    <x v="24"/>
    <x v="4"/>
    <n v="89"/>
    <x v="1"/>
    <x v="0"/>
  </r>
  <r>
    <x v="0"/>
    <x v="8"/>
    <x v="28"/>
    <x v="12"/>
    <n v="55"/>
    <x v="1"/>
    <x v="0"/>
  </r>
  <r>
    <x v="0"/>
    <x v="8"/>
    <x v="4"/>
    <x v="3"/>
    <n v="3250"/>
    <x v="0"/>
    <x v="0"/>
  </r>
  <r>
    <x v="0"/>
    <x v="8"/>
    <x v="19"/>
    <x v="10"/>
    <n v="50"/>
    <x v="1"/>
    <x v="0"/>
  </r>
  <r>
    <x v="0"/>
    <x v="8"/>
    <x v="26"/>
    <x v="2"/>
    <n v="45"/>
    <x v="1"/>
    <x v="0"/>
  </r>
  <r>
    <x v="0"/>
    <x v="9"/>
    <x v="3"/>
    <x v="2"/>
    <n v="250"/>
    <x v="1"/>
    <x v="0"/>
  </r>
  <r>
    <x v="0"/>
    <x v="9"/>
    <x v="1"/>
    <x v="0"/>
    <n v="40"/>
    <x v="0"/>
    <x v="0"/>
  </r>
  <r>
    <x v="0"/>
    <x v="9"/>
    <x v="2"/>
    <x v="1"/>
    <n v="2712"/>
    <x v="1"/>
    <x v="0"/>
  </r>
  <r>
    <x v="0"/>
    <x v="9"/>
    <x v="9"/>
    <x v="6"/>
    <n v="45"/>
    <x v="1"/>
    <x v="0"/>
  </r>
  <r>
    <x v="0"/>
    <x v="9"/>
    <x v="5"/>
    <x v="4"/>
    <n v="220"/>
    <x v="1"/>
    <x v="0"/>
  </r>
  <r>
    <x v="0"/>
    <x v="9"/>
    <x v="14"/>
    <x v="5"/>
    <n v="45"/>
    <x v="1"/>
    <x v="0"/>
  </r>
  <r>
    <x v="0"/>
    <x v="9"/>
    <x v="4"/>
    <x v="3"/>
    <n v="3250"/>
    <x v="0"/>
    <x v="0"/>
  </r>
  <r>
    <x v="0"/>
    <x v="9"/>
    <x v="10"/>
    <x v="4"/>
    <n v="130"/>
    <x v="1"/>
    <x v="0"/>
  </r>
  <r>
    <x v="0"/>
    <x v="9"/>
    <x v="11"/>
    <x v="6"/>
    <n v="145"/>
    <x v="1"/>
    <x v="0"/>
  </r>
  <r>
    <x v="0"/>
    <x v="9"/>
    <x v="12"/>
    <x v="6"/>
    <n v="60"/>
    <x v="1"/>
    <x v="0"/>
  </r>
  <r>
    <x v="0"/>
    <x v="9"/>
    <x v="13"/>
    <x v="6"/>
    <n v="50"/>
    <x v="1"/>
    <x v="0"/>
  </r>
  <r>
    <x v="0"/>
    <x v="9"/>
    <x v="15"/>
    <x v="5"/>
    <n v="80"/>
    <x v="1"/>
    <x v="0"/>
  </r>
  <r>
    <x v="0"/>
    <x v="9"/>
    <x v="16"/>
    <x v="8"/>
    <n v="100"/>
    <x v="1"/>
    <x v="0"/>
  </r>
  <r>
    <x v="0"/>
    <x v="9"/>
    <x v="17"/>
    <x v="4"/>
    <n v="260"/>
    <x v="1"/>
    <x v="0"/>
  </r>
  <r>
    <x v="0"/>
    <x v="9"/>
    <x v="19"/>
    <x v="10"/>
    <n v="85"/>
    <x v="1"/>
    <x v="0"/>
  </r>
  <r>
    <x v="0"/>
    <x v="9"/>
    <x v="20"/>
    <x v="8"/>
    <n v="50"/>
    <x v="1"/>
    <x v="0"/>
  </r>
  <r>
    <x v="0"/>
    <x v="9"/>
    <x v="17"/>
    <x v="7"/>
    <n v="80"/>
    <x v="1"/>
    <x v="0"/>
  </r>
  <r>
    <x v="0"/>
    <x v="9"/>
    <x v="21"/>
    <x v="11"/>
    <n v="15"/>
    <x v="1"/>
    <x v="0"/>
  </r>
  <r>
    <x v="0"/>
    <x v="9"/>
    <x v="22"/>
    <x v="11"/>
    <n v="15"/>
    <x v="1"/>
    <x v="0"/>
  </r>
  <r>
    <x v="0"/>
    <x v="9"/>
    <x v="23"/>
    <x v="11"/>
    <n v="12"/>
    <x v="1"/>
    <x v="0"/>
  </r>
  <r>
    <x v="0"/>
    <x v="9"/>
    <x v="4"/>
    <x v="3"/>
    <n v="3250"/>
    <x v="0"/>
    <x v="0"/>
  </r>
  <r>
    <x v="0"/>
    <x v="9"/>
    <x v="24"/>
    <x v="4"/>
    <n v="90"/>
    <x v="1"/>
    <x v="0"/>
  </r>
  <r>
    <x v="0"/>
    <x v="9"/>
    <x v="28"/>
    <x v="12"/>
    <n v="260"/>
    <x v="1"/>
    <x v="0"/>
  </r>
  <r>
    <x v="0"/>
    <x v="9"/>
    <x v="19"/>
    <x v="10"/>
    <n v="55"/>
    <x v="1"/>
    <x v="0"/>
  </r>
  <r>
    <x v="0"/>
    <x v="9"/>
    <x v="26"/>
    <x v="2"/>
    <n v="35"/>
    <x v="1"/>
    <x v="0"/>
  </r>
  <r>
    <x v="0"/>
    <x v="10"/>
    <x v="3"/>
    <x v="2"/>
    <n v="250"/>
    <x v="1"/>
    <x v="0"/>
  </r>
  <r>
    <x v="0"/>
    <x v="10"/>
    <x v="1"/>
    <x v="0"/>
    <n v="40"/>
    <x v="0"/>
    <x v="0"/>
  </r>
  <r>
    <x v="0"/>
    <x v="10"/>
    <x v="2"/>
    <x v="1"/>
    <n v="2712"/>
    <x v="1"/>
    <x v="0"/>
  </r>
  <r>
    <x v="0"/>
    <x v="10"/>
    <x v="5"/>
    <x v="4"/>
    <n v="223"/>
    <x v="1"/>
    <x v="0"/>
  </r>
  <r>
    <x v="0"/>
    <x v="10"/>
    <x v="32"/>
    <x v="13"/>
    <n v="120"/>
    <x v="1"/>
    <x v="0"/>
  </r>
  <r>
    <x v="0"/>
    <x v="10"/>
    <x v="9"/>
    <x v="6"/>
    <n v="45"/>
    <x v="1"/>
    <x v="0"/>
  </r>
  <r>
    <x v="0"/>
    <x v="10"/>
    <x v="4"/>
    <x v="3"/>
    <n v="3250"/>
    <x v="0"/>
    <x v="0"/>
  </r>
  <r>
    <x v="0"/>
    <x v="10"/>
    <x v="10"/>
    <x v="4"/>
    <n v="132"/>
    <x v="1"/>
    <x v="0"/>
  </r>
  <r>
    <x v="0"/>
    <x v="10"/>
    <x v="11"/>
    <x v="6"/>
    <n v="130"/>
    <x v="1"/>
    <x v="0"/>
  </r>
  <r>
    <x v="0"/>
    <x v="10"/>
    <x v="14"/>
    <x v="5"/>
    <n v="48"/>
    <x v="1"/>
    <x v="0"/>
  </r>
  <r>
    <x v="0"/>
    <x v="10"/>
    <x v="12"/>
    <x v="6"/>
    <n v="70"/>
    <x v="1"/>
    <x v="0"/>
  </r>
  <r>
    <x v="0"/>
    <x v="10"/>
    <x v="13"/>
    <x v="6"/>
    <n v="75"/>
    <x v="1"/>
    <x v="0"/>
  </r>
  <r>
    <x v="0"/>
    <x v="10"/>
    <x v="15"/>
    <x v="5"/>
    <n v="100"/>
    <x v="1"/>
    <x v="0"/>
  </r>
  <r>
    <x v="0"/>
    <x v="10"/>
    <x v="36"/>
    <x v="13"/>
    <n v="90"/>
    <x v="1"/>
    <x v="0"/>
  </r>
  <r>
    <x v="0"/>
    <x v="10"/>
    <x v="16"/>
    <x v="8"/>
    <n v="100"/>
    <x v="1"/>
    <x v="0"/>
  </r>
  <r>
    <x v="0"/>
    <x v="10"/>
    <x v="17"/>
    <x v="4"/>
    <n v="264"/>
    <x v="1"/>
    <x v="0"/>
  </r>
  <r>
    <x v="0"/>
    <x v="10"/>
    <x v="19"/>
    <x v="10"/>
    <n v="90"/>
    <x v="1"/>
    <x v="0"/>
  </r>
  <r>
    <x v="0"/>
    <x v="10"/>
    <x v="20"/>
    <x v="8"/>
    <n v="60"/>
    <x v="1"/>
    <x v="0"/>
  </r>
  <r>
    <x v="0"/>
    <x v="10"/>
    <x v="21"/>
    <x v="11"/>
    <n v="15"/>
    <x v="1"/>
    <x v="0"/>
  </r>
  <r>
    <x v="0"/>
    <x v="10"/>
    <x v="4"/>
    <x v="3"/>
    <n v="3250"/>
    <x v="0"/>
    <x v="0"/>
  </r>
  <r>
    <x v="0"/>
    <x v="10"/>
    <x v="22"/>
    <x v="11"/>
    <n v="15"/>
    <x v="1"/>
    <x v="0"/>
  </r>
  <r>
    <x v="0"/>
    <x v="10"/>
    <x v="23"/>
    <x v="11"/>
    <n v="12"/>
    <x v="1"/>
    <x v="0"/>
  </r>
  <r>
    <x v="0"/>
    <x v="10"/>
    <x v="17"/>
    <x v="7"/>
    <n v="55"/>
    <x v="1"/>
    <x v="0"/>
  </r>
  <r>
    <x v="0"/>
    <x v="10"/>
    <x v="31"/>
    <x v="13"/>
    <n v="170"/>
    <x v="1"/>
    <x v="0"/>
  </r>
  <r>
    <x v="0"/>
    <x v="10"/>
    <x v="24"/>
    <x v="4"/>
    <n v="91"/>
    <x v="1"/>
    <x v="0"/>
  </r>
  <r>
    <x v="0"/>
    <x v="10"/>
    <x v="37"/>
    <x v="12"/>
    <n v="165"/>
    <x v="1"/>
    <x v="0"/>
  </r>
  <r>
    <x v="0"/>
    <x v="10"/>
    <x v="17"/>
    <x v="7"/>
    <n v="540"/>
    <x v="1"/>
    <x v="0"/>
  </r>
  <r>
    <x v="0"/>
    <x v="10"/>
    <x v="19"/>
    <x v="10"/>
    <n v="60"/>
    <x v="1"/>
    <x v="0"/>
  </r>
  <r>
    <x v="0"/>
    <x v="10"/>
    <x v="26"/>
    <x v="2"/>
    <n v="32"/>
    <x v="1"/>
    <x v="0"/>
  </r>
  <r>
    <x v="0"/>
    <x v="11"/>
    <x v="3"/>
    <x v="2"/>
    <n v="250"/>
    <x v="1"/>
    <x v="0"/>
  </r>
  <r>
    <x v="0"/>
    <x v="11"/>
    <x v="1"/>
    <x v="0"/>
    <n v="30"/>
    <x v="0"/>
    <x v="0"/>
  </r>
  <r>
    <x v="0"/>
    <x v="11"/>
    <x v="2"/>
    <x v="1"/>
    <n v="2712"/>
    <x v="1"/>
    <x v="0"/>
  </r>
  <r>
    <x v="0"/>
    <x v="11"/>
    <x v="5"/>
    <x v="4"/>
    <n v="226"/>
    <x v="1"/>
    <x v="0"/>
  </r>
  <r>
    <x v="0"/>
    <x v="11"/>
    <x v="9"/>
    <x v="6"/>
    <n v="45"/>
    <x v="1"/>
    <x v="0"/>
  </r>
  <r>
    <x v="0"/>
    <x v="11"/>
    <x v="4"/>
    <x v="3"/>
    <n v="3250"/>
    <x v="0"/>
    <x v="0"/>
  </r>
  <r>
    <x v="0"/>
    <x v="11"/>
    <x v="10"/>
    <x v="4"/>
    <n v="134"/>
    <x v="1"/>
    <x v="0"/>
  </r>
  <r>
    <x v="0"/>
    <x v="11"/>
    <x v="11"/>
    <x v="6"/>
    <n v="125"/>
    <x v="1"/>
    <x v="0"/>
  </r>
  <r>
    <x v="0"/>
    <x v="11"/>
    <x v="12"/>
    <x v="6"/>
    <n v="65"/>
    <x v="1"/>
    <x v="0"/>
  </r>
  <r>
    <x v="0"/>
    <x v="11"/>
    <x v="13"/>
    <x v="6"/>
    <n v="95"/>
    <x v="1"/>
    <x v="0"/>
  </r>
  <r>
    <x v="0"/>
    <x v="11"/>
    <x v="15"/>
    <x v="5"/>
    <n v="96"/>
    <x v="1"/>
    <x v="0"/>
  </r>
  <r>
    <x v="0"/>
    <x v="11"/>
    <x v="32"/>
    <x v="13"/>
    <n v="125"/>
    <x v="1"/>
    <x v="0"/>
  </r>
  <r>
    <x v="0"/>
    <x v="11"/>
    <x v="16"/>
    <x v="8"/>
    <n v="100"/>
    <x v="1"/>
    <x v="0"/>
  </r>
  <r>
    <x v="0"/>
    <x v="11"/>
    <x v="17"/>
    <x v="4"/>
    <n v="268"/>
    <x v="1"/>
    <x v="0"/>
  </r>
  <r>
    <x v="0"/>
    <x v="11"/>
    <x v="17"/>
    <x v="7"/>
    <n v="90"/>
    <x v="1"/>
    <x v="0"/>
  </r>
  <r>
    <x v="0"/>
    <x v="11"/>
    <x v="19"/>
    <x v="10"/>
    <n v="95"/>
    <x v="1"/>
    <x v="0"/>
  </r>
  <r>
    <x v="0"/>
    <x v="11"/>
    <x v="30"/>
    <x v="14"/>
    <n v="650"/>
    <x v="1"/>
    <x v="0"/>
  </r>
  <r>
    <x v="0"/>
    <x v="11"/>
    <x v="4"/>
    <x v="3"/>
    <n v="3250"/>
    <x v="0"/>
    <x v="0"/>
  </r>
  <r>
    <x v="0"/>
    <x v="11"/>
    <x v="20"/>
    <x v="8"/>
    <n v="60"/>
    <x v="1"/>
    <x v="0"/>
  </r>
  <r>
    <x v="0"/>
    <x v="11"/>
    <x v="21"/>
    <x v="11"/>
    <n v="15"/>
    <x v="1"/>
    <x v="0"/>
  </r>
  <r>
    <x v="0"/>
    <x v="11"/>
    <x v="27"/>
    <x v="7"/>
    <n v="250"/>
    <x v="1"/>
    <x v="0"/>
  </r>
  <r>
    <x v="0"/>
    <x v="11"/>
    <x v="14"/>
    <x v="5"/>
    <n v="75"/>
    <x v="1"/>
    <x v="0"/>
  </r>
  <r>
    <x v="0"/>
    <x v="11"/>
    <x v="22"/>
    <x v="11"/>
    <n v="15"/>
    <x v="1"/>
    <x v="0"/>
  </r>
  <r>
    <x v="0"/>
    <x v="11"/>
    <x v="23"/>
    <x v="11"/>
    <n v="12"/>
    <x v="1"/>
    <x v="0"/>
  </r>
  <r>
    <x v="0"/>
    <x v="11"/>
    <x v="27"/>
    <x v="13"/>
    <n v="45"/>
    <x v="1"/>
    <x v="0"/>
  </r>
  <r>
    <x v="0"/>
    <x v="11"/>
    <x v="24"/>
    <x v="4"/>
    <n v="92"/>
    <x v="1"/>
    <x v="0"/>
  </r>
  <r>
    <x v="0"/>
    <x v="11"/>
    <x v="28"/>
    <x v="12"/>
    <n v="55"/>
    <x v="1"/>
    <x v="0"/>
  </r>
  <r>
    <x v="0"/>
    <x v="11"/>
    <x v="19"/>
    <x v="10"/>
    <n v="45"/>
    <x v="1"/>
    <x v="0"/>
  </r>
  <r>
    <x v="0"/>
    <x v="11"/>
    <x v="26"/>
    <x v="2"/>
    <n v="45"/>
    <x v="1"/>
    <x v="0"/>
  </r>
  <r>
    <x v="0"/>
    <x v="0"/>
    <x v="4"/>
    <x v="3"/>
    <n v="6500"/>
    <x v="0"/>
    <x v="1"/>
  </r>
  <r>
    <x v="0"/>
    <x v="1"/>
    <x v="4"/>
    <x v="3"/>
    <n v="6500"/>
    <x v="0"/>
    <x v="1"/>
  </r>
  <r>
    <x v="0"/>
    <x v="2"/>
    <x v="4"/>
    <x v="3"/>
    <n v="9750"/>
    <x v="0"/>
    <x v="1"/>
  </r>
  <r>
    <x v="0"/>
    <x v="3"/>
    <x v="4"/>
    <x v="3"/>
    <n v="6500"/>
    <x v="0"/>
    <x v="1"/>
  </r>
  <r>
    <x v="0"/>
    <x v="4"/>
    <x v="4"/>
    <x v="3"/>
    <n v="6500"/>
    <x v="0"/>
    <x v="1"/>
  </r>
  <r>
    <x v="0"/>
    <x v="5"/>
    <x v="4"/>
    <x v="3"/>
    <n v="6500"/>
    <x v="0"/>
    <x v="1"/>
  </r>
  <r>
    <x v="0"/>
    <x v="6"/>
    <x v="4"/>
    <x v="3"/>
    <n v="6500"/>
    <x v="0"/>
    <x v="1"/>
  </r>
  <r>
    <x v="0"/>
    <x v="7"/>
    <x v="4"/>
    <x v="3"/>
    <n v="6500"/>
    <x v="0"/>
    <x v="1"/>
  </r>
  <r>
    <x v="0"/>
    <x v="8"/>
    <x v="4"/>
    <x v="3"/>
    <n v="9750"/>
    <x v="0"/>
    <x v="1"/>
  </r>
  <r>
    <x v="0"/>
    <x v="9"/>
    <x v="4"/>
    <x v="3"/>
    <n v="6500"/>
    <x v="0"/>
    <x v="1"/>
  </r>
  <r>
    <x v="0"/>
    <x v="10"/>
    <x v="4"/>
    <x v="3"/>
    <n v="6500"/>
    <x v="0"/>
    <x v="1"/>
  </r>
  <r>
    <x v="0"/>
    <x v="11"/>
    <x v="4"/>
    <x v="3"/>
    <n v="6500"/>
    <x v="0"/>
    <x v="1"/>
  </r>
  <r>
    <x v="0"/>
    <x v="0"/>
    <x v="33"/>
    <x v="0"/>
    <n v="160"/>
    <x v="0"/>
    <x v="1"/>
  </r>
  <r>
    <x v="0"/>
    <x v="1"/>
    <x v="33"/>
    <x v="0"/>
    <n v="40"/>
    <x v="0"/>
    <x v="1"/>
  </r>
  <r>
    <x v="0"/>
    <x v="2"/>
    <x v="33"/>
    <x v="0"/>
    <n v="40"/>
    <x v="0"/>
    <x v="1"/>
  </r>
  <r>
    <x v="0"/>
    <x v="3"/>
    <x v="33"/>
    <x v="0"/>
    <n v="290"/>
    <x v="0"/>
    <x v="1"/>
  </r>
  <r>
    <x v="0"/>
    <x v="4"/>
    <x v="33"/>
    <x v="0"/>
    <n v="40"/>
    <x v="0"/>
    <x v="1"/>
  </r>
  <r>
    <x v="0"/>
    <x v="5"/>
    <x v="33"/>
    <x v="0"/>
    <n v="40"/>
    <x v="0"/>
    <x v="1"/>
  </r>
  <r>
    <x v="0"/>
    <x v="6"/>
    <x v="33"/>
    <x v="0"/>
    <n v="160"/>
    <x v="0"/>
    <x v="1"/>
  </r>
  <r>
    <x v="0"/>
    <x v="7"/>
    <x v="33"/>
    <x v="0"/>
    <n v="40"/>
    <x v="0"/>
    <x v="1"/>
  </r>
  <r>
    <x v="0"/>
    <x v="8"/>
    <x v="33"/>
    <x v="0"/>
    <n v="40"/>
    <x v="0"/>
    <x v="1"/>
  </r>
  <r>
    <x v="0"/>
    <x v="9"/>
    <x v="33"/>
    <x v="0"/>
    <n v="40"/>
    <x v="0"/>
    <x v="1"/>
  </r>
  <r>
    <x v="0"/>
    <x v="10"/>
    <x v="33"/>
    <x v="0"/>
    <n v="40"/>
    <x v="0"/>
    <x v="1"/>
  </r>
  <r>
    <x v="0"/>
    <x v="11"/>
    <x v="33"/>
    <x v="0"/>
    <n v="40"/>
    <x v="0"/>
    <x v="1"/>
  </r>
  <r>
    <x v="0"/>
    <x v="0"/>
    <x v="2"/>
    <x v="1"/>
    <n v="4712"/>
    <x v="1"/>
    <x v="1"/>
  </r>
  <r>
    <x v="0"/>
    <x v="1"/>
    <x v="2"/>
    <x v="1"/>
    <n v="2712"/>
    <x v="1"/>
    <x v="1"/>
  </r>
  <r>
    <x v="0"/>
    <x v="2"/>
    <x v="2"/>
    <x v="1"/>
    <n v="2712"/>
    <x v="1"/>
    <x v="1"/>
  </r>
  <r>
    <x v="0"/>
    <x v="3"/>
    <x v="2"/>
    <x v="1"/>
    <n v="2712"/>
    <x v="1"/>
    <x v="1"/>
  </r>
  <r>
    <x v="0"/>
    <x v="4"/>
    <x v="2"/>
    <x v="1"/>
    <n v="2712"/>
    <x v="1"/>
    <x v="1"/>
  </r>
  <r>
    <x v="0"/>
    <x v="5"/>
    <x v="2"/>
    <x v="1"/>
    <n v="2712"/>
    <x v="1"/>
    <x v="1"/>
  </r>
  <r>
    <x v="0"/>
    <x v="6"/>
    <x v="2"/>
    <x v="1"/>
    <n v="2712"/>
    <x v="1"/>
    <x v="1"/>
  </r>
  <r>
    <x v="0"/>
    <x v="7"/>
    <x v="2"/>
    <x v="1"/>
    <n v="2712"/>
    <x v="1"/>
    <x v="1"/>
  </r>
  <r>
    <x v="0"/>
    <x v="8"/>
    <x v="2"/>
    <x v="1"/>
    <n v="2712"/>
    <x v="1"/>
    <x v="1"/>
  </r>
  <r>
    <x v="0"/>
    <x v="9"/>
    <x v="2"/>
    <x v="1"/>
    <n v="2712"/>
    <x v="1"/>
    <x v="1"/>
  </r>
  <r>
    <x v="0"/>
    <x v="10"/>
    <x v="2"/>
    <x v="1"/>
    <n v="2712"/>
    <x v="1"/>
    <x v="1"/>
  </r>
  <r>
    <x v="0"/>
    <x v="11"/>
    <x v="2"/>
    <x v="1"/>
    <n v="2712"/>
    <x v="1"/>
    <x v="1"/>
  </r>
  <r>
    <x v="0"/>
    <x v="0"/>
    <x v="11"/>
    <x v="6"/>
    <n v="355"/>
    <x v="1"/>
    <x v="1"/>
  </r>
  <r>
    <x v="0"/>
    <x v="1"/>
    <x v="11"/>
    <x v="6"/>
    <n v="350"/>
    <x v="1"/>
    <x v="1"/>
  </r>
  <r>
    <x v="0"/>
    <x v="2"/>
    <x v="11"/>
    <x v="6"/>
    <n v="310"/>
    <x v="1"/>
    <x v="1"/>
  </r>
  <r>
    <x v="0"/>
    <x v="3"/>
    <x v="11"/>
    <x v="6"/>
    <n v="275"/>
    <x v="1"/>
    <x v="1"/>
  </r>
  <r>
    <x v="0"/>
    <x v="4"/>
    <x v="11"/>
    <x v="6"/>
    <n v="275"/>
    <x v="1"/>
    <x v="1"/>
  </r>
  <r>
    <x v="0"/>
    <x v="5"/>
    <x v="11"/>
    <x v="6"/>
    <n v="290"/>
    <x v="1"/>
    <x v="1"/>
  </r>
  <r>
    <x v="0"/>
    <x v="6"/>
    <x v="11"/>
    <x v="6"/>
    <n v="365"/>
    <x v="1"/>
    <x v="1"/>
  </r>
  <r>
    <x v="0"/>
    <x v="7"/>
    <x v="11"/>
    <x v="6"/>
    <n v="325"/>
    <x v="1"/>
    <x v="1"/>
  </r>
  <r>
    <x v="0"/>
    <x v="8"/>
    <x v="11"/>
    <x v="6"/>
    <n v="280"/>
    <x v="1"/>
    <x v="1"/>
  </r>
  <r>
    <x v="0"/>
    <x v="9"/>
    <x v="11"/>
    <x v="6"/>
    <n v="300"/>
    <x v="1"/>
    <x v="1"/>
  </r>
  <r>
    <x v="0"/>
    <x v="10"/>
    <x v="11"/>
    <x v="6"/>
    <n v="320"/>
    <x v="1"/>
    <x v="1"/>
  </r>
  <r>
    <x v="0"/>
    <x v="11"/>
    <x v="11"/>
    <x v="6"/>
    <n v="350"/>
    <x v="1"/>
    <x v="1"/>
  </r>
  <r>
    <x v="0"/>
    <x v="0"/>
    <x v="17"/>
    <x v="4"/>
    <n v="610"/>
    <x v="1"/>
    <x v="1"/>
  </r>
  <r>
    <x v="0"/>
    <x v="1"/>
    <x v="17"/>
    <x v="4"/>
    <n v="620"/>
    <x v="1"/>
    <x v="1"/>
  </r>
  <r>
    <x v="0"/>
    <x v="2"/>
    <x v="17"/>
    <x v="4"/>
    <n v="630"/>
    <x v="1"/>
    <x v="1"/>
  </r>
  <r>
    <x v="0"/>
    <x v="3"/>
    <x v="17"/>
    <x v="4"/>
    <n v="640"/>
    <x v="1"/>
    <x v="1"/>
  </r>
  <r>
    <x v="0"/>
    <x v="4"/>
    <x v="17"/>
    <x v="4"/>
    <n v="650"/>
    <x v="1"/>
    <x v="1"/>
  </r>
  <r>
    <x v="0"/>
    <x v="5"/>
    <x v="17"/>
    <x v="4"/>
    <n v="660"/>
    <x v="1"/>
    <x v="1"/>
  </r>
  <r>
    <x v="0"/>
    <x v="6"/>
    <x v="17"/>
    <x v="4"/>
    <n v="670"/>
    <x v="1"/>
    <x v="1"/>
  </r>
  <r>
    <x v="0"/>
    <x v="7"/>
    <x v="17"/>
    <x v="4"/>
    <n v="680"/>
    <x v="1"/>
    <x v="1"/>
  </r>
  <r>
    <x v="0"/>
    <x v="8"/>
    <x v="17"/>
    <x v="4"/>
    <n v="690"/>
    <x v="1"/>
    <x v="1"/>
  </r>
  <r>
    <x v="0"/>
    <x v="9"/>
    <x v="17"/>
    <x v="4"/>
    <n v="700"/>
    <x v="1"/>
    <x v="1"/>
  </r>
  <r>
    <x v="0"/>
    <x v="10"/>
    <x v="17"/>
    <x v="4"/>
    <n v="710"/>
    <x v="1"/>
    <x v="1"/>
  </r>
  <r>
    <x v="0"/>
    <x v="11"/>
    <x v="17"/>
    <x v="4"/>
    <n v="720"/>
    <x v="1"/>
    <x v="1"/>
  </r>
  <r>
    <x v="0"/>
    <x v="0"/>
    <x v="19"/>
    <x v="10"/>
    <n v="150"/>
    <x v="1"/>
    <x v="1"/>
  </r>
  <r>
    <x v="0"/>
    <x v="1"/>
    <x v="19"/>
    <x v="10"/>
    <n v="150"/>
    <x v="1"/>
    <x v="1"/>
  </r>
  <r>
    <x v="0"/>
    <x v="2"/>
    <x v="19"/>
    <x v="10"/>
    <n v="150"/>
    <x v="1"/>
    <x v="1"/>
  </r>
  <r>
    <x v="0"/>
    <x v="3"/>
    <x v="19"/>
    <x v="10"/>
    <n v="150"/>
    <x v="1"/>
    <x v="1"/>
  </r>
  <r>
    <x v="0"/>
    <x v="4"/>
    <x v="19"/>
    <x v="10"/>
    <n v="150"/>
    <x v="1"/>
    <x v="1"/>
  </r>
  <r>
    <x v="0"/>
    <x v="5"/>
    <x v="19"/>
    <x v="10"/>
    <n v="150"/>
    <x v="1"/>
    <x v="1"/>
  </r>
  <r>
    <x v="0"/>
    <x v="6"/>
    <x v="19"/>
    <x v="10"/>
    <n v="150"/>
    <x v="1"/>
    <x v="1"/>
  </r>
  <r>
    <x v="0"/>
    <x v="7"/>
    <x v="19"/>
    <x v="10"/>
    <n v="150"/>
    <x v="1"/>
    <x v="1"/>
  </r>
  <r>
    <x v="0"/>
    <x v="8"/>
    <x v="19"/>
    <x v="10"/>
    <n v="150"/>
    <x v="1"/>
    <x v="1"/>
  </r>
  <r>
    <x v="0"/>
    <x v="9"/>
    <x v="19"/>
    <x v="10"/>
    <n v="150"/>
    <x v="1"/>
    <x v="1"/>
  </r>
  <r>
    <x v="0"/>
    <x v="10"/>
    <x v="19"/>
    <x v="10"/>
    <n v="150"/>
    <x v="1"/>
    <x v="1"/>
  </r>
  <r>
    <x v="0"/>
    <x v="11"/>
    <x v="19"/>
    <x v="10"/>
    <n v="150"/>
    <x v="1"/>
    <x v="1"/>
  </r>
  <r>
    <x v="0"/>
    <x v="0"/>
    <x v="38"/>
    <x v="5"/>
    <n v="970"/>
    <x v="1"/>
    <x v="1"/>
  </r>
  <r>
    <x v="0"/>
    <x v="1"/>
    <x v="38"/>
    <x v="5"/>
    <n v="90"/>
    <x v="1"/>
    <x v="1"/>
  </r>
  <r>
    <x v="0"/>
    <x v="2"/>
    <x v="38"/>
    <x v="5"/>
    <n v="170"/>
    <x v="1"/>
    <x v="1"/>
  </r>
  <r>
    <x v="0"/>
    <x v="3"/>
    <x v="38"/>
    <x v="5"/>
    <n v="90"/>
    <x v="1"/>
    <x v="1"/>
  </r>
  <r>
    <x v="0"/>
    <x v="4"/>
    <x v="38"/>
    <x v="5"/>
    <n v="170"/>
    <x v="1"/>
    <x v="1"/>
  </r>
  <r>
    <x v="0"/>
    <x v="5"/>
    <x v="38"/>
    <x v="5"/>
    <n v="170"/>
    <x v="1"/>
    <x v="1"/>
  </r>
  <r>
    <x v="0"/>
    <x v="6"/>
    <x v="38"/>
    <x v="5"/>
    <n v="970"/>
    <x v="1"/>
    <x v="1"/>
  </r>
  <r>
    <x v="0"/>
    <x v="7"/>
    <x v="38"/>
    <x v="5"/>
    <n v="170"/>
    <x v="1"/>
    <x v="1"/>
  </r>
  <r>
    <x v="0"/>
    <x v="8"/>
    <x v="38"/>
    <x v="5"/>
    <n v="90"/>
    <x v="1"/>
    <x v="1"/>
  </r>
  <r>
    <x v="0"/>
    <x v="9"/>
    <x v="38"/>
    <x v="5"/>
    <n v="140"/>
    <x v="1"/>
    <x v="1"/>
  </r>
  <r>
    <x v="0"/>
    <x v="10"/>
    <x v="38"/>
    <x v="5"/>
    <n v="140"/>
    <x v="1"/>
    <x v="1"/>
  </r>
  <r>
    <x v="0"/>
    <x v="11"/>
    <x v="38"/>
    <x v="5"/>
    <n v="170"/>
    <x v="1"/>
    <x v="1"/>
  </r>
  <r>
    <x v="0"/>
    <x v="0"/>
    <x v="3"/>
    <x v="2"/>
    <n v="290"/>
    <x v="1"/>
    <x v="1"/>
  </r>
  <r>
    <x v="0"/>
    <x v="1"/>
    <x v="3"/>
    <x v="2"/>
    <n v="290"/>
    <x v="1"/>
    <x v="1"/>
  </r>
  <r>
    <x v="0"/>
    <x v="2"/>
    <x v="3"/>
    <x v="2"/>
    <n v="290"/>
    <x v="1"/>
    <x v="1"/>
  </r>
  <r>
    <x v="0"/>
    <x v="3"/>
    <x v="3"/>
    <x v="2"/>
    <n v="290"/>
    <x v="1"/>
    <x v="1"/>
  </r>
  <r>
    <x v="0"/>
    <x v="4"/>
    <x v="3"/>
    <x v="2"/>
    <n v="290"/>
    <x v="1"/>
    <x v="1"/>
  </r>
  <r>
    <x v="0"/>
    <x v="5"/>
    <x v="3"/>
    <x v="2"/>
    <n v="290"/>
    <x v="1"/>
    <x v="1"/>
  </r>
  <r>
    <x v="0"/>
    <x v="6"/>
    <x v="3"/>
    <x v="2"/>
    <n v="290"/>
    <x v="1"/>
    <x v="1"/>
  </r>
  <r>
    <x v="0"/>
    <x v="7"/>
    <x v="3"/>
    <x v="2"/>
    <n v="290"/>
    <x v="1"/>
    <x v="1"/>
  </r>
  <r>
    <x v="0"/>
    <x v="8"/>
    <x v="3"/>
    <x v="2"/>
    <n v="290"/>
    <x v="1"/>
    <x v="1"/>
  </r>
  <r>
    <x v="0"/>
    <x v="9"/>
    <x v="3"/>
    <x v="2"/>
    <n v="290"/>
    <x v="1"/>
    <x v="1"/>
  </r>
  <r>
    <x v="0"/>
    <x v="10"/>
    <x v="3"/>
    <x v="2"/>
    <n v="290"/>
    <x v="1"/>
    <x v="1"/>
  </r>
  <r>
    <x v="0"/>
    <x v="11"/>
    <x v="3"/>
    <x v="2"/>
    <n v="290"/>
    <x v="1"/>
    <x v="1"/>
  </r>
  <r>
    <x v="0"/>
    <x v="0"/>
    <x v="28"/>
    <x v="12"/>
    <n v="50"/>
    <x v="1"/>
    <x v="1"/>
  </r>
  <r>
    <x v="0"/>
    <x v="1"/>
    <x v="28"/>
    <x v="12"/>
    <n v="50"/>
    <x v="1"/>
    <x v="1"/>
  </r>
  <r>
    <x v="0"/>
    <x v="2"/>
    <x v="28"/>
    <x v="12"/>
    <n v="50"/>
    <x v="1"/>
    <x v="1"/>
  </r>
  <r>
    <x v="0"/>
    <x v="3"/>
    <x v="28"/>
    <x v="12"/>
    <n v="50"/>
    <x v="1"/>
    <x v="1"/>
  </r>
  <r>
    <x v="0"/>
    <x v="4"/>
    <x v="28"/>
    <x v="12"/>
    <n v="50"/>
    <x v="1"/>
    <x v="1"/>
  </r>
  <r>
    <x v="0"/>
    <x v="5"/>
    <x v="28"/>
    <x v="12"/>
    <n v="100"/>
    <x v="1"/>
    <x v="1"/>
  </r>
  <r>
    <x v="0"/>
    <x v="6"/>
    <x v="28"/>
    <x v="12"/>
    <n v="50"/>
    <x v="1"/>
    <x v="1"/>
  </r>
  <r>
    <x v="0"/>
    <x v="7"/>
    <x v="28"/>
    <x v="12"/>
    <n v="50"/>
    <x v="1"/>
    <x v="1"/>
  </r>
  <r>
    <x v="0"/>
    <x v="8"/>
    <x v="28"/>
    <x v="12"/>
    <n v="50"/>
    <x v="1"/>
    <x v="1"/>
  </r>
  <r>
    <x v="0"/>
    <x v="9"/>
    <x v="28"/>
    <x v="12"/>
    <n v="250"/>
    <x v="1"/>
    <x v="1"/>
  </r>
  <r>
    <x v="0"/>
    <x v="10"/>
    <x v="28"/>
    <x v="12"/>
    <n v="200"/>
    <x v="1"/>
    <x v="1"/>
  </r>
  <r>
    <x v="0"/>
    <x v="11"/>
    <x v="28"/>
    <x v="12"/>
    <n v="50"/>
    <x v="1"/>
    <x v="1"/>
  </r>
  <r>
    <x v="0"/>
    <x v="0"/>
    <x v="39"/>
    <x v="11"/>
    <n v="40"/>
    <x v="1"/>
    <x v="1"/>
  </r>
  <r>
    <x v="0"/>
    <x v="1"/>
    <x v="39"/>
    <x v="11"/>
    <n v="40"/>
    <x v="1"/>
    <x v="1"/>
  </r>
  <r>
    <x v="0"/>
    <x v="2"/>
    <x v="39"/>
    <x v="11"/>
    <n v="40"/>
    <x v="1"/>
    <x v="1"/>
  </r>
  <r>
    <x v="0"/>
    <x v="3"/>
    <x v="39"/>
    <x v="11"/>
    <n v="40"/>
    <x v="1"/>
    <x v="1"/>
  </r>
  <r>
    <x v="0"/>
    <x v="4"/>
    <x v="39"/>
    <x v="11"/>
    <n v="40"/>
    <x v="1"/>
    <x v="1"/>
  </r>
  <r>
    <x v="0"/>
    <x v="5"/>
    <x v="39"/>
    <x v="11"/>
    <n v="40"/>
    <x v="1"/>
    <x v="1"/>
  </r>
  <r>
    <x v="0"/>
    <x v="6"/>
    <x v="39"/>
    <x v="11"/>
    <n v="40"/>
    <x v="1"/>
    <x v="1"/>
  </r>
  <r>
    <x v="0"/>
    <x v="7"/>
    <x v="39"/>
    <x v="11"/>
    <n v="40"/>
    <x v="1"/>
    <x v="1"/>
  </r>
  <r>
    <x v="0"/>
    <x v="8"/>
    <x v="39"/>
    <x v="11"/>
    <n v="40"/>
    <x v="1"/>
    <x v="1"/>
  </r>
  <r>
    <x v="0"/>
    <x v="9"/>
    <x v="39"/>
    <x v="11"/>
    <n v="40"/>
    <x v="1"/>
    <x v="1"/>
  </r>
  <r>
    <x v="0"/>
    <x v="10"/>
    <x v="39"/>
    <x v="11"/>
    <n v="40"/>
    <x v="1"/>
    <x v="1"/>
  </r>
  <r>
    <x v="0"/>
    <x v="11"/>
    <x v="39"/>
    <x v="11"/>
    <n v="40"/>
    <x v="1"/>
    <x v="1"/>
  </r>
  <r>
    <x v="0"/>
    <x v="0"/>
    <x v="27"/>
    <x v="13"/>
    <n v="50"/>
    <x v="1"/>
    <x v="1"/>
  </r>
  <r>
    <x v="0"/>
    <x v="1"/>
    <x v="27"/>
    <x v="13"/>
    <n v="50"/>
    <x v="1"/>
    <x v="1"/>
  </r>
  <r>
    <x v="0"/>
    <x v="2"/>
    <x v="27"/>
    <x v="13"/>
    <n v="50"/>
    <x v="1"/>
    <x v="1"/>
  </r>
  <r>
    <x v="0"/>
    <x v="3"/>
    <x v="27"/>
    <x v="13"/>
    <n v="50"/>
    <x v="1"/>
    <x v="1"/>
  </r>
  <r>
    <x v="0"/>
    <x v="4"/>
    <x v="27"/>
    <x v="13"/>
    <n v="50"/>
    <x v="1"/>
    <x v="1"/>
  </r>
  <r>
    <x v="0"/>
    <x v="5"/>
    <x v="27"/>
    <x v="13"/>
    <n v="150"/>
    <x v="1"/>
    <x v="1"/>
  </r>
  <r>
    <x v="0"/>
    <x v="6"/>
    <x v="27"/>
    <x v="13"/>
    <n v="150"/>
    <x v="1"/>
    <x v="1"/>
  </r>
  <r>
    <x v="0"/>
    <x v="7"/>
    <x v="27"/>
    <x v="13"/>
    <n v="50"/>
    <x v="1"/>
    <x v="1"/>
  </r>
  <r>
    <x v="0"/>
    <x v="8"/>
    <x v="27"/>
    <x v="13"/>
    <n v="50"/>
    <x v="1"/>
    <x v="1"/>
  </r>
  <r>
    <x v="0"/>
    <x v="9"/>
    <x v="27"/>
    <x v="13"/>
    <n v="100"/>
    <x v="1"/>
    <x v="1"/>
  </r>
  <r>
    <x v="0"/>
    <x v="10"/>
    <x v="27"/>
    <x v="13"/>
    <n v="300"/>
    <x v="1"/>
    <x v="1"/>
  </r>
  <r>
    <x v="0"/>
    <x v="11"/>
    <x v="27"/>
    <x v="13"/>
    <n v="200"/>
    <x v="1"/>
    <x v="1"/>
  </r>
  <r>
    <x v="0"/>
    <x v="0"/>
    <x v="17"/>
    <x v="7"/>
    <n v="50"/>
    <x v="1"/>
    <x v="1"/>
  </r>
  <r>
    <x v="0"/>
    <x v="1"/>
    <x v="17"/>
    <x v="7"/>
    <n v="50"/>
    <x v="1"/>
    <x v="1"/>
  </r>
  <r>
    <x v="0"/>
    <x v="2"/>
    <x v="17"/>
    <x v="7"/>
    <n v="50"/>
    <x v="1"/>
    <x v="1"/>
  </r>
  <r>
    <x v="0"/>
    <x v="3"/>
    <x v="17"/>
    <x v="7"/>
    <n v="50"/>
    <x v="1"/>
    <x v="1"/>
  </r>
  <r>
    <x v="0"/>
    <x v="4"/>
    <x v="17"/>
    <x v="7"/>
    <n v="50"/>
    <x v="1"/>
    <x v="1"/>
  </r>
  <r>
    <x v="0"/>
    <x v="5"/>
    <x v="17"/>
    <x v="7"/>
    <n v="50"/>
    <x v="1"/>
    <x v="1"/>
  </r>
  <r>
    <x v="0"/>
    <x v="6"/>
    <x v="17"/>
    <x v="7"/>
    <n v="50"/>
    <x v="1"/>
    <x v="1"/>
  </r>
  <r>
    <x v="0"/>
    <x v="7"/>
    <x v="17"/>
    <x v="7"/>
    <n v="50"/>
    <x v="1"/>
    <x v="1"/>
  </r>
  <r>
    <x v="0"/>
    <x v="8"/>
    <x v="17"/>
    <x v="7"/>
    <n v="50"/>
    <x v="1"/>
    <x v="1"/>
  </r>
  <r>
    <x v="0"/>
    <x v="9"/>
    <x v="17"/>
    <x v="7"/>
    <n v="50"/>
    <x v="1"/>
    <x v="1"/>
  </r>
  <r>
    <x v="0"/>
    <x v="10"/>
    <x v="17"/>
    <x v="7"/>
    <n v="600"/>
    <x v="1"/>
    <x v="1"/>
  </r>
  <r>
    <x v="0"/>
    <x v="11"/>
    <x v="17"/>
    <x v="7"/>
    <n v="500"/>
    <x v="1"/>
    <x v="1"/>
  </r>
  <r>
    <x v="0"/>
    <x v="0"/>
    <x v="30"/>
    <x v="14"/>
    <n v="0"/>
    <x v="1"/>
    <x v="1"/>
  </r>
  <r>
    <x v="0"/>
    <x v="1"/>
    <x v="30"/>
    <x v="14"/>
    <n v="0"/>
    <x v="1"/>
    <x v="1"/>
  </r>
  <r>
    <x v="0"/>
    <x v="2"/>
    <x v="30"/>
    <x v="14"/>
    <n v="1200"/>
    <x v="1"/>
    <x v="1"/>
  </r>
  <r>
    <x v="0"/>
    <x v="3"/>
    <x v="30"/>
    <x v="14"/>
    <n v="0"/>
    <x v="1"/>
    <x v="1"/>
  </r>
  <r>
    <x v="0"/>
    <x v="4"/>
    <x v="30"/>
    <x v="14"/>
    <n v="0"/>
    <x v="1"/>
    <x v="1"/>
  </r>
  <r>
    <x v="0"/>
    <x v="5"/>
    <x v="30"/>
    <x v="14"/>
    <n v="800"/>
    <x v="1"/>
    <x v="1"/>
  </r>
  <r>
    <x v="0"/>
    <x v="6"/>
    <x v="30"/>
    <x v="14"/>
    <n v="800"/>
    <x v="1"/>
    <x v="1"/>
  </r>
  <r>
    <x v="0"/>
    <x v="7"/>
    <x v="30"/>
    <x v="14"/>
    <n v="0"/>
    <x v="1"/>
    <x v="1"/>
  </r>
  <r>
    <x v="0"/>
    <x v="8"/>
    <x v="30"/>
    <x v="14"/>
    <n v="0"/>
    <x v="1"/>
    <x v="1"/>
  </r>
  <r>
    <x v="0"/>
    <x v="9"/>
    <x v="30"/>
    <x v="14"/>
    <n v="0"/>
    <x v="1"/>
    <x v="1"/>
  </r>
  <r>
    <x v="0"/>
    <x v="10"/>
    <x v="30"/>
    <x v="14"/>
    <n v="0"/>
    <x v="1"/>
    <x v="1"/>
  </r>
  <r>
    <x v="0"/>
    <x v="11"/>
    <x v="30"/>
    <x v="14"/>
    <n v="800"/>
    <x v="1"/>
    <x v="1"/>
  </r>
  <r>
    <x v="0"/>
    <x v="0"/>
    <x v="20"/>
    <x v="8"/>
    <n v="150"/>
    <x v="1"/>
    <x v="1"/>
  </r>
  <r>
    <x v="0"/>
    <x v="1"/>
    <x v="20"/>
    <x v="8"/>
    <n v="150"/>
    <x v="1"/>
    <x v="1"/>
  </r>
  <r>
    <x v="0"/>
    <x v="2"/>
    <x v="20"/>
    <x v="8"/>
    <n v="150"/>
    <x v="1"/>
    <x v="1"/>
  </r>
  <r>
    <x v="0"/>
    <x v="3"/>
    <x v="20"/>
    <x v="8"/>
    <n v="150"/>
    <x v="1"/>
    <x v="1"/>
  </r>
  <r>
    <x v="0"/>
    <x v="4"/>
    <x v="20"/>
    <x v="8"/>
    <n v="150"/>
    <x v="1"/>
    <x v="1"/>
  </r>
  <r>
    <x v="0"/>
    <x v="5"/>
    <x v="20"/>
    <x v="8"/>
    <n v="150"/>
    <x v="1"/>
    <x v="1"/>
  </r>
  <r>
    <x v="0"/>
    <x v="6"/>
    <x v="20"/>
    <x v="8"/>
    <n v="150"/>
    <x v="1"/>
    <x v="1"/>
  </r>
  <r>
    <x v="0"/>
    <x v="7"/>
    <x v="20"/>
    <x v="8"/>
    <n v="150"/>
    <x v="1"/>
    <x v="1"/>
  </r>
  <r>
    <x v="0"/>
    <x v="8"/>
    <x v="20"/>
    <x v="8"/>
    <n v="150"/>
    <x v="1"/>
    <x v="1"/>
  </r>
  <r>
    <x v="0"/>
    <x v="9"/>
    <x v="20"/>
    <x v="8"/>
    <n v="150"/>
    <x v="1"/>
    <x v="1"/>
  </r>
  <r>
    <x v="0"/>
    <x v="10"/>
    <x v="20"/>
    <x v="8"/>
    <n v="150"/>
    <x v="1"/>
    <x v="1"/>
  </r>
  <r>
    <x v="0"/>
    <x v="11"/>
    <x v="20"/>
    <x v="8"/>
    <n v="150"/>
    <x v="1"/>
    <x v="1"/>
  </r>
  <r>
    <x v="0"/>
    <x v="0"/>
    <x v="18"/>
    <x v="9"/>
    <n v="300"/>
    <x v="1"/>
    <x v="1"/>
  </r>
  <r>
    <x v="0"/>
    <x v="1"/>
    <x v="18"/>
    <x v="9"/>
    <n v="300"/>
    <x v="1"/>
    <x v="1"/>
  </r>
  <r>
    <x v="0"/>
    <x v="2"/>
    <x v="18"/>
    <x v="9"/>
    <n v="300"/>
    <x v="1"/>
    <x v="1"/>
  </r>
  <r>
    <x v="0"/>
    <x v="3"/>
    <x v="18"/>
    <x v="9"/>
    <n v="300"/>
    <x v="1"/>
    <x v="1"/>
  </r>
  <r>
    <x v="0"/>
    <x v="4"/>
    <x v="18"/>
    <x v="9"/>
    <n v="300"/>
    <x v="1"/>
    <x v="1"/>
  </r>
  <r>
    <x v="0"/>
    <x v="5"/>
    <x v="18"/>
    <x v="9"/>
    <n v="300"/>
    <x v="1"/>
    <x v="1"/>
  </r>
  <r>
    <x v="0"/>
    <x v="6"/>
    <x v="18"/>
    <x v="9"/>
    <n v="300"/>
    <x v="1"/>
    <x v="1"/>
  </r>
  <r>
    <x v="0"/>
    <x v="7"/>
    <x v="18"/>
    <x v="9"/>
    <n v="300"/>
    <x v="1"/>
    <x v="1"/>
  </r>
  <r>
    <x v="0"/>
    <x v="8"/>
    <x v="18"/>
    <x v="9"/>
    <n v="300"/>
    <x v="1"/>
    <x v="1"/>
  </r>
  <r>
    <x v="0"/>
    <x v="9"/>
    <x v="18"/>
    <x v="9"/>
    <n v="300"/>
    <x v="1"/>
    <x v="1"/>
  </r>
  <r>
    <x v="0"/>
    <x v="10"/>
    <x v="18"/>
    <x v="9"/>
    <n v="300"/>
    <x v="1"/>
    <x v="1"/>
  </r>
  <r>
    <x v="0"/>
    <x v="11"/>
    <x v="18"/>
    <x v="9"/>
    <n v="30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28BF7-DF52-44AB-8EE5-26BCD421E804}" name="PT_IncomeByMonth"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rowHeaderCaption="Month" fieldListSortAscending="1">
  <location ref="A69:C84" firstHeaderRow="1" firstDataRow="2" firstDataCol="1" rowPageCount="1" colPageCount="1"/>
  <pivotFields count="7">
    <pivotField axis="axisRow" showAll="0" defaultSubtotal="0">
      <items count="1">
        <item x="0"/>
      </items>
    </pivotField>
    <pivotField axis="axisRow" showAll="0" defaultSubtotal="0">
      <items count="12">
        <item x="0"/>
        <item x="1"/>
        <item x="2"/>
        <item x="3"/>
        <item x="4"/>
        <item x="5"/>
        <item x="6"/>
        <item x="7"/>
        <item x="8"/>
        <item x="9"/>
        <item x="10"/>
        <item x="11"/>
      </items>
    </pivotField>
    <pivotField subtotalTop="0" showAll="0" defaultSubtotal="0"/>
    <pivotField showAll="0" sortType="descending" defaultSubtotal="0">
      <items count="16">
        <item x="13"/>
        <item x="10"/>
        <item x="9"/>
        <item x="11"/>
        <item x="3"/>
        <item x="4"/>
        <item x="2"/>
        <item x="7"/>
        <item m="1" x="15"/>
        <item x="1"/>
        <item x="8"/>
        <item x="12"/>
        <item x="5"/>
        <item x="14"/>
        <item x="6"/>
        <item x="0"/>
      </items>
      <autoSortScope>
        <pivotArea dataOnly="0" outline="0" fieldPosition="0">
          <references count="2">
            <reference field="4294967294" count="1" selected="0">
              <x v="0"/>
            </reference>
            <reference field="6" count="1" selected="0">
              <x v="1"/>
            </reference>
          </references>
        </pivotArea>
      </autoSortScope>
    </pivotField>
    <pivotField dataField="1" showAll="0" defaultSubtotal="0"/>
    <pivotField axis="axisPage" showAll="0" defaultSubtotal="0">
      <items count="3">
        <item x="1"/>
        <item x="0"/>
        <item m="1" x="2"/>
      </items>
    </pivotField>
    <pivotField axis="axisCol" showAll="0" defaultSubtotal="0">
      <items count="2">
        <item x="0"/>
        <item x="1"/>
      </items>
    </pivotField>
  </pivotFields>
  <rowFields count="2">
    <field x="0"/>
    <field x="1"/>
  </rowFields>
  <rowItems count="14">
    <i>
      <x/>
    </i>
    <i r="1">
      <x/>
    </i>
    <i r="1">
      <x v="1"/>
    </i>
    <i r="1">
      <x v="2"/>
    </i>
    <i r="1">
      <x v="3"/>
    </i>
    <i r="1">
      <x v="4"/>
    </i>
    <i r="1">
      <x v="5"/>
    </i>
    <i r="1">
      <x v="6"/>
    </i>
    <i r="1">
      <x v="7"/>
    </i>
    <i r="1">
      <x v="8"/>
    </i>
    <i r="1">
      <x v="9"/>
    </i>
    <i r="1">
      <x v="10"/>
    </i>
    <i r="1">
      <x v="11"/>
    </i>
    <i t="grand">
      <x/>
    </i>
  </rowItems>
  <colFields count="1">
    <field x="6"/>
  </colFields>
  <colItems count="2">
    <i>
      <x/>
    </i>
    <i>
      <x v="1"/>
    </i>
  </colItems>
  <pageFields count="1">
    <pageField fld="5" item="1" hier="-1"/>
  </pageFields>
  <dataFields count="1">
    <dataField name="Sum of Amount" fld="4"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0"/>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2">
          <reference field="4294967294" count="1" selected="0">
            <x v="0"/>
          </reference>
          <reference field="6" count="1" selected="0">
            <x v="0"/>
          </reference>
        </references>
      </pivotArea>
    </chartFormat>
    <chartFormat chart="12" format="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F25434-4F43-4301-A9AD-C9C449160039}" name="PT_BudgetVsActual"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Months" fieldListSortAscending="1">
  <location ref="A26:C41" firstHeaderRow="1" firstDataRow="2" firstDataCol="1" rowPageCount="1" colPageCount="1"/>
  <pivotFields count="7">
    <pivotField axis="axisRow" showAll="0" defaultSubtotal="0">
      <items count="1">
        <item x="0"/>
      </items>
    </pivotField>
    <pivotField axis="axisRow" showAll="0" defaultSubtotal="0">
      <items count="12">
        <item x="0"/>
        <item x="1"/>
        <item x="2"/>
        <item x="3"/>
        <item x="4"/>
        <item x="5"/>
        <item x="6"/>
        <item x="7"/>
        <item x="8"/>
        <item x="9"/>
        <item x="10"/>
        <item x="11"/>
      </items>
    </pivotField>
    <pivotField subtotalTop="0" showAll="0" defaultSubtotal="0"/>
    <pivotField showAll="0" sortType="descending" defaultSubtotal="0">
      <items count="16">
        <item x="13"/>
        <item x="10"/>
        <item x="9"/>
        <item x="11"/>
        <item x="3"/>
        <item x="4"/>
        <item x="2"/>
        <item x="7"/>
        <item m="1" x="15"/>
        <item x="1"/>
        <item x="8"/>
        <item x="12"/>
        <item x="5"/>
        <item x="14"/>
        <item x="6"/>
        <item x="0"/>
      </items>
      <autoSortScope>
        <pivotArea dataOnly="0" outline="0" fieldPosition="0">
          <references count="2">
            <reference field="4294967294" count="1" selected="0">
              <x v="0"/>
            </reference>
            <reference field="6" count="1" selected="0">
              <x v="1"/>
            </reference>
          </references>
        </pivotArea>
      </autoSortScope>
    </pivotField>
    <pivotField dataField="1" showAll="0" defaultSubtotal="0"/>
    <pivotField axis="axisPage" showAll="0" defaultSubtotal="0">
      <items count="3">
        <item x="1"/>
        <item x="0"/>
        <item m="1" x="2"/>
      </items>
    </pivotField>
    <pivotField axis="axisCol" showAll="0" defaultSubtotal="0">
      <items count="2">
        <item x="0"/>
        <item x="1"/>
      </items>
    </pivotField>
  </pivotFields>
  <rowFields count="2">
    <field x="0"/>
    <field x="1"/>
  </rowFields>
  <rowItems count="14">
    <i>
      <x/>
    </i>
    <i r="1">
      <x/>
    </i>
    <i r="1">
      <x v="1"/>
    </i>
    <i r="1">
      <x v="2"/>
    </i>
    <i r="1">
      <x v="3"/>
    </i>
    <i r="1">
      <x v="4"/>
    </i>
    <i r="1">
      <x v="5"/>
    </i>
    <i r="1">
      <x v="6"/>
    </i>
    <i r="1">
      <x v="7"/>
    </i>
    <i r="1">
      <x v="8"/>
    </i>
    <i r="1">
      <x v="9"/>
    </i>
    <i r="1">
      <x v="10"/>
    </i>
    <i r="1">
      <x v="11"/>
    </i>
    <i t="grand">
      <x/>
    </i>
  </rowItems>
  <colFields count="1">
    <field x="6"/>
  </colFields>
  <colItems count="2">
    <i>
      <x/>
    </i>
    <i>
      <x v="1"/>
    </i>
  </colItems>
  <pageFields count="1">
    <pageField fld="5" item="0" hier="-1"/>
  </pageFields>
  <dataFields count="1">
    <dataField name="Sum of Amount" fld="4"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0"/>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2">
          <reference field="4294967294" count="1" selected="0">
            <x v="0"/>
          </reference>
          <reference field="6" count="1" selected="0">
            <x v="0"/>
          </reference>
        </references>
      </pivotArea>
    </chartFormat>
    <chartFormat chart="12" format="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A303D-A484-4B7F-8CB5-9348EAE780F3}" name="PT_Variance"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47" rowHeaderCaption="Category" fieldListSortAscending="1">
  <location ref="A104:C120" firstHeaderRow="1" firstDataRow="2" firstDataCol="1"/>
  <pivotFields count="7">
    <pivotField showAll="0" defaultSubtotal="0"/>
    <pivotField showAll="0" defaultSubtotal="0">
      <items count="12">
        <item x="0"/>
        <item x="1"/>
        <item x="2"/>
        <item x="3"/>
        <item x="4"/>
        <item x="5"/>
        <item x="6"/>
        <item x="7"/>
        <item x="8"/>
        <item x="9"/>
        <item x="10"/>
        <item x="11"/>
      </items>
    </pivotField>
    <pivotField subtotalTop="0" showAll="0" defaultSubtotal="0"/>
    <pivotField axis="axisRow" showAll="0" defaultSubtotal="0">
      <items count="16">
        <item x="13"/>
        <item x="10"/>
        <item x="9"/>
        <item x="11"/>
        <item x="3"/>
        <item x="4"/>
        <item x="2"/>
        <item m="1" x="15"/>
        <item x="1"/>
        <item x="8"/>
        <item x="12"/>
        <item x="5"/>
        <item x="14"/>
        <item x="6"/>
        <item x="0"/>
        <item x="7"/>
      </items>
    </pivotField>
    <pivotField dataField="1" showAll="0" defaultSubtotal="0"/>
    <pivotField showAll="0" defaultSubtotal="0">
      <items count="3">
        <item x="1"/>
        <item x="0"/>
        <item m="1" x="2"/>
      </items>
    </pivotField>
    <pivotField axis="axisCol" showAll="0" defaultSubtotal="0">
      <items count="2">
        <item x="0"/>
        <item x="1"/>
      </items>
    </pivotField>
  </pivotFields>
  <rowFields count="1">
    <field x="3"/>
  </rowFields>
  <rowItems count="15">
    <i>
      <x/>
    </i>
    <i>
      <x v="1"/>
    </i>
    <i>
      <x v="2"/>
    </i>
    <i>
      <x v="3"/>
    </i>
    <i>
      <x v="4"/>
    </i>
    <i>
      <x v="5"/>
    </i>
    <i>
      <x v="6"/>
    </i>
    <i>
      <x v="8"/>
    </i>
    <i>
      <x v="9"/>
    </i>
    <i>
      <x v="10"/>
    </i>
    <i>
      <x v="11"/>
    </i>
    <i>
      <x v="12"/>
    </i>
    <i>
      <x v="13"/>
    </i>
    <i>
      <x v="14"/>
    </i>
    <i>
      <x v="15"/>
    </i>
  </rowItems>
  <colFields count="1">
    <field x="6"/>
  </colFields>
  <colItems count="2">
    <i>
      <x/>
    </i>
    <i>
      <x v="1"/>
    </i>
  </colItems>
  <dataFields count="1">
    <dataField name="Sum of Amount" fld="4" baseField="0" baseItem="0"/>
  </dataFields>
  <chartFormats count="29">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8"/>
          </reference>
        </references>
      </pivotArea>
    </chartFormat>
    <chartFormat chart="20" format="4">
      <pivotArea type="data" outline="0" fieldPosition="0">
        <references count="2">
          <reference field="4294967294" count="1" selected="0">
            <x v="0"/>
          </reference>
          <reference field="3" count="1" selected="0">
            <x v="0"/>
          </reference>
        </references>
      </pivotArea>
    </chartFormat>
    <chartFormat chart="20" format="5">
      <pivotArea type="data" outline="0" fieldPosition="0">
        <references count="2">
          <reference field="4294967294" count="1" selected="0">
            <x v="0"/>
          </reference>
          <reference field="3" count="1" selected="0">
            <x v="1"/>
          </reference>
        </references>
      </pivotArea>
    </chartFormat>
    <chartFormat chart="20" format="6">
      <pivotArea type="data" outline="0" fieldPosition="0">
        <references count="2">
          <reference field="4294967294" count="1" selected="0">
            <x v="0"/>
          </reference>
          <reference field="3" count="1" selected="0">
            <x v="2"/>
          </reference>
        </references>
      </pivotArea>
    </chartFormat>
    <chartFormat chart="20" format="7">
      <pivotArea type="data" outline="0" fieldPosition="0">
        <references count="2">
          <reference field="4294967294" count="1" selected="0">
            <x v="0"/>
          </reference>
          <reference field="3" count="1" selected="0">
            <x v="3"/>
          </reference>
        </references>
      </pivotArea>
    </chartFormat>
    <chartFormat chart="20" format="8">
      <pivotArea type="data" outline="0" fieldPosition="0">
        <references count="2">
          <reference field="4294967294" count="1" selected="0">
            <x v="0"/>
          </reference>
          <reference field="3" count="1" selected="0">
            <x v="5"/>
          </reference>
        </references>
      </pivotArea>
    </chartFormat>
    <chartFormat chart="20" format="9">
      <pivotArea type="data" outline="0" fieldPosition="0">
        <references count="2">
          <reference field="4294967294" count="1" selected="0">
            <x v="0"/>
          </reference>
          <reference field="3" count="1" selected="0">
            <x v="6"/>
          </reference>
        </references>
      </pivotArea>
    </chartFormat>
    <chartFormat chart="20" format="10">
      <pivotArea type="data" outline="0" fieldPosition="0">
        <references count="2">
          <reference field="4294967294" count="1" selected="0">
            <x v="0"/>
          </reference>
          <reference field="3" count="1" selected="0">
            <x v="7"/>
          </reference>
        </references>
      </pivotArea>
    </chartFormat>
    <chartFormat chart="20" format="11">
      <pivotArea type="data" outline="0" fieldPosition="0">
        <references count="2">
          <reference field="4294967294" count="1" selected="0">
            <x v="0"/>
          </reference>
          <reference field="3" count="1" selected="0">
            <x v="9"/>
          </reference>
        </references>
      </pivotArea>
    </chartFormat>
    <chartFormat chart="20" format="12">
      <pivotArea type="data" outline="0" fieldPosition="0">
        <references count="2">
          <reference field="4294967294" count="1" selected="0">
            <x v="0"/>
          </reference>
          <reference field="3" count="1" selected="0">
            <x v="10"/>
          </reference>
        </references>
      </pivotArea>
    </chartFormat>
    <chartFormat chart="20" format="13">
      <pivotArea type="data" outline="0" fieldPosition="0">
        <references count="2">
          <reference field="4294967294" count="1" selected="0">
            <x v="0"/>
          </reference>
          <reference field="3" count="1" selected="0">
            <x v="11"/>
          </reference>
        </references>
      </pivotArea>
    </chartFormat>
    <chartFormat chart="20" format="14">
      <pivotArea type="data" outline="0" fieldPosition="0">
        <references count="2">
          <reference field="4294967294" count="1" selected="0">
            <x v="0"/>
          </reference>
          <reference field="3" count="1" selected="0">
            <x v="12"/>
          </reference>
        </references>
      </pivotArea>
    </chartFormat>
    <chartFormat chart="20" format="15">
      <pivotArea type="data" outline="0" fieldPosition="0">
        <references count="2">
          <reference field="4294967294" count="1" selected="0">
            <x v="0"/>
          </reference>
          <reference field="3" count="1" selected="0">
            <x v="13"/>
          </reference>
        </references>
      </pivotArea>
    </chartFormat>
    <chartFormat chart="45" format="30" series="1">
      <pivotArea type="data" outline="0" fieldPosition="0">
        <references count="1">
          <reference field="4294967294" count="1" selected="0">
            <x v="0"/>
          </reference>
        </references>
      </pivotArea>
    </chartFormat>
    <chartFormat chart="45" format="31">
      <pivotArea type="data" outline="0" fieldPosition="0">
        <references count="2">
          <reference field="4294967294" count="1" selected="0">
            <x v="0"/>
          </reference>
          <reference field="3" count="1" selected="0">
            <x v="0"/>
          </reference>
        </references>
      </pivotArea>
    </chartFormat>
    <chartFormat chart="45" format="32">
      <pivotArea type="data" outline="0" fieldPosition="0">
        <references count="2">
          <reference field="4294967294" count="1" selected="0">
            <x v="0"/>
          </reference>
          <reference field="3" count="1" selected="0">
            <x v="1"/>
          </reference>
        </references>
      </pivotArea>
    </chartFormat>
    <chartFormat chart="45" format="33">
      <pivotArea type="data" outline="0" fieldPosition="0">
        <references count="2">
          <reference field="4294967294" count="1" selected="0">
            <x v="0"/>
          </reference>
          <reference field="3" count="1" selected="0">
            <x v="2"/>
          </reference>
        </references>
      </pivotArea>
    </chartFormat>
    <chartFormat chart="45" format="34">
      <pivotArea type="data" outline="0" fieldPosition="0">
        <references count="2">
          <reference field="4294967294" count="1" selected="0">
            <x v="0"/>
          </reference>
          <reference field="3" count="1" selected="0">
            <x v="3"/>
          </reference>
        </references>
      </pivotArea>
    </chartFormat>
    <chartFormat chart="45" format="35">
      <pivotArea type="data" outline="0" fieldPosition="0">
        <references count="2">
          <reference field="4294967294" count="1" selected="0">
            <x v="0"/>
          </reference>
          <reference field="3" count="1" selected="0">
            <x v="5"/>
          </reference>
        </references>
      </pivotArea>
    </chartFormat>
    <chartFormat chart="45" format="36">
      <pivotArea type="data" outline="0" fieldPosition="0">
        <references count="2">
          <reference field="4294967294" count="1" selected="0">
            <x v="0"/>
          </reference>
          <reference field="3" count="1" selected="0">
            <x v="6"/>
          </reference>
        </references>
      </pivotArea>
    </chartFormat>
    <chartFormat chart="45" format="37">
      <pivotArea type="data" outline="0" fieldPosition="0">
        <references count="2">
          <reference field="4294967294" count="1" selected="0">
            <x v="0"/>
          </reference>
          <reference field="3" count="1" selected="0">
            <x v="7"/>
          </reference>
        </references>
      </pivotArea>
    </chartFormat>
    <chartFormat chart="45" format="38">
      <pivotArea type="data" outline="0" fieldPosition="0">
        <references count="2">
          <reference field="4294967294" count="1" selected="0">
            <x v="0"/>
          </reference>
          <reference field="3" count="1" selected="0">
            <x v="8"/>
          </reference>
        </references>
      </pivotArea>
    </chartFormat>
    <chartFormat chart="45" format="39">
      <pivotArea type="data" outline="0" fieldPosition="0">
        <references count="2">
          <reference field="4294967294" count="1" selected="0">
            <x v="0"/>
          </reference>
          <reference field="3" count="1" selected="0">
            <x v="9"/>
          </reference>
        </references>
      </pivotArea>
    </chartFormat>
    <chartFormat chart="45" format="40">
      <pivotArea type="data" outline="0" fieldPosition="0">
        <references count="2">
          <reference field="4294967294" count="1" selected="0">
            <x v="0"/>
          </reference>
          <reference field="3" count="1" selected="0">
            <x v="10"/>
          </reference>
        </references>
      </pivotArea>
    </chartFormat>
    <chartFormat chart="45" format="41">
      <pivotArea type="data" outline="0" fieldPosition="0">
        <references count="2">
          <reference field="4294967294" count="1" selected="0">
            <x v="0"/>
          </reference>
          <reference field="3" count="1" selected="0">
            <x v="11"/>
          </reference>
        </references>
      </pivotArea>
    </chartFormat>
    <chartFormat chart="45" format="42">
      <pivotArea type="data" outline="0" fieldPosition="0">
        <references count="2">
          <reference field="4294967294" count="1" selected="0">
            <x v="0"/>
          </reference>
          <reference field="3" count="1" selected="0">
            <x v="12"/>
          </reference>
        </references>
      </pivotArea>
    </chartFormat>
    <chartFormat chart="45" format="4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97806-9F61-4D26-B6FB-44B4FA2AE780}" name="PT_ExpenseByCategor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rowHeaderCaption="Category" fieldListSortAscending="1">
  <location ref="A6:B20" firstHeaderRow="1" firstDataRow="1" firstDataCol="1" rowPageCount="2" colPageCount="1"/>
  <pivotFields count="7">
    <pivotField showAll="0"/>
    <pivotField showAll="0">
      <items count="13">
        <item x="0"/>
        <item x="1"/>
        <item x="2"/>
        <item x="3"/>
        <item x="4"/>
        <item x="5"/>
        <item x="6"/>
        <item x="7"/>
        <item x="8"/>
        <item x="9"/>
        <item x="10"/>
        <item x="11"/>
        <item t="default"/>
      </items>
    </pivotField>
    <pivotField showAll="0"/>
    <pivotField axis="axisRow" showAll="0" sortType="ascending">
      <items count="17">
        <item x="13"/>
        <item x="10"/>
        <item x="9"/>
        <item x="11"/>
        <item x="3"/>
        <item x="4"/>
        <item x="2"/>
        <item m="1" x="15"/>
        <item x="1"/>
        <item x="8"/>
        <item x="12"/>
        <item x="5"/>
        <item x="14"/>
        <item x="6"/>
        <item x="0"/>
        <item x="7"/>
        <item t="default"/>
      </items>
      <autoSortScope>
        <pivotArea dataOnly="0" outline="0" fieldPosition="0">
          <references count="1">
            <reference field="4294967294" count="1" selected="0">
              <x v="0"/>
            </reference>
          </references>
        </pivotArea>
      </autoSortScope>
    </pivotField>
    <pivotField dataField="1" showAll="0"/>
    <pivotField axis="axisPage" showAll="0">
      <items count="4">
        <item x="1"/>
        <item x="0"/>
        <item m="1" x="2"/>
        <item t="default"/>
      </items>
    </pivotField>
    <pivotField axis="axisPage" showAll="0">
      <items count="3">
        <item x="0"/>
        <item x="1"/>
        <item t="default"/>
      </items>
    </pivotField>
  </pivotFields>
  <rowFields count="1">
    <field x="3"/>
  </rowFields>
  <rowItems count="14">
    <i>
      <x v="3"/>
    </i>
    <i>
      <x v="10"/>
    </i>
    <i>
      <x/>
    </i>
    <i>
      <x v="2"/>
    </i>
    <i>
      <x v="15"/>
    </i>
    <i>
      <x v="1"/>
    </i>
    <i>
      <x v="9"/>
    </i>
    <i>
      <x v="11"/>
    </i>
    <i>
      <x v="12"/>
    </i>
    <i>
      <x v="13"/>
    </i>
    <i>
      <x v="6"/>
    </i>
    <i>
      <x v="5"/>
    </i>
    <i>
      <x v="8"/>
    </i>
    <i t="grand">
      <x/>
    </i>
  </rowItems>
  <colItems count="1">
    <i/>
  </colItems>
  <pageFields count="2">
    <pageField fld="5" item="0" hier="-1"/>
    <pageField fld="6" item="0" hier="-1"/>
  </pageFields>
  <dataFields count="1">
    <dataField name="Sum of Amount" fld="4" baseField="0" baseItem="0"/>
  </dataFields>
  <conditionalFormats count="2">
    <conditionalFormat priority="17">
      <pivotAreas count="1">
        <pivotArea type="data" grandRow="1" outline="0" collapsedLevelsAreSubtotals="1" fieldPosition="0">
          <references count="1">
            <reference field="4294967294" count="1" selected="0">
              <x v="0"/>
            </reference>
          </references>
        </pivotArea>
      </pivotAreas>
    </conditionalFormat>
    <conditionalFormat priority="19">
      <pivotAreas count="1">
        <pivotArea type="data" grandRow="1" outline="0" collapsedLevelsAreSubtotals="1" fieldPosition="0">
          <references count="1">
            <reference field="4294967294" count="1" selected="0">
              <x v="0"/>
            </reference>
          </references>
        </pivotArea>
      </pivotAreas>
    </conditionalFormat>
  </conditionalFormats>
  <chartFormats count="1">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528480-F366-4B38-AE4B-1BEF0E62A429}" name="PT_IncomeBreakdow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3" rowHeaderCaption="Income Source" fieldListSortAscending="1">
  <location ref="A92:B96" firstHeaderRow="1" firstDataRow="1" firstDataCol="1" rowPageCount="2" colPageCount="1"/>
  <pivotFields count="7">
    <pivotField showAll="0" defaultSubtotal="0"/>
    <pivotField axis="axisPage" showAll="0" defaultSubtotal="0">
      <items count="12">
        <item x="0"/>
        <item x="1"/>
        <item x="2"/>
        <item x="3"/>
        <item x="4"/>
        <item x="5"/>
        <item x="6"/>
        <item x="7"/>
        <item x="8"/>
        <item x="9"/>
        <item x="10"/>
        <item x="11"/>
      </items>
    </pivotField>
    <pivotField axis="axisRow" subtotalTop="0" showAll="0" defaultSubtotal="0">
      <items count="40">
        <item x="27"/>
        <item x="22"/>
        <item x="6"/>
        <item x="33"/>
        <item x="36"/>
        <item x="17"/>
        <item x="7"/>
        <item x="23"/>
        <item x="0"/>
        <item x="34"/>
        <item x="16"/>
        <item x="15"/>
        <item x="11"/>
        <item x="18"/>
        <item x="14"/>
        <item x="38"/>
        <item x="13"/>
        <item x="20"/>
        <item x="3"/>
        <item x="8"/>
        <item x="2"/>
        <item x="24"/>
        <item x="1"/>
        <item x="9"/>
        <item x="31"/>
        <item x="10"/>
        <item x="37"/>
        <item x="21"/>
        <item x="26"/>
        <item x="39"/>
        <item x="19"/>
        <item x="32"/>
        <item x="4"/>
        <item x="25"/>
        <item x="28"/>
        <item x="35"/>
        <item x="30"/>
        <item x="29"/>
        <item x="5"/>
        <item x="12"/>
      </items>
    </pivotField>
    <pivotField showAll="0" sortType="descending" defaultSubtotal="0">
      <items count="16">
        <item x="13"/>
        <item x="10"/>
        <item x="9"/>
        <item x="11"/>
        <item x="3"/>
        <item x="4"/>
        <item x="2"/>
        <item x="7"/>
        <item m="1" x="15"/>
        <item x="1"/>
        <item x="8"/>
        <item x="12"/>
        <item x="5"/>
        <item x="14"/>
        <item x="6"/>
        <item x="0"/>
      </items>
      <autoSortScope>
        <pivotArea dataOnly="0" outline="0" fieldPosition="0">
          <references count="2">
            <reference field="4294967294" count="1" selected="0">
              <x v="0"/>
            </reference>
            <reference field="6" count="1" selected="0">
              <x v="1"/>
            </reference>
          </references>
        </pivotArea>
      </autoSortScope>
    </pivotField>
    <pivotField dataField="1" showAll="0" defaultSubtotal="0"/>
    <pivotField axis="axisPage" showAll="0" defaultSubtotal="0">
      <items count="3">
        <item x="1"/>
        <item x="0"/>
        <item m="1" x="2"/>
      </items>
    </pivotField>
    <pivotField showAll="0" defaultSubtotal="0">
      <items count="2">
        <item x="0"/>
        <item x="1"/>
      </items>
    </pivotField>
  </pivotFields>
  <rowFields count="1">
    <field x="2"/>
  </rowFields>
  <rowItems count="4">
    <i>
      <x v="3"/>
    </i>
    <i>
      <x v="8"/>
    </i>
    <i>
      <x v="22"/>
    </i>
    <i>
      <x v="32"/>
    </i>
  </rowItems>
  <colItems count="1">
    <i/>
  </colItems>
  <pageFields count="2">
    <pageField fld="5" item="1" hier="-1"/>
    <pageField fld="1" hier="-1"/>
  </pageFields>
  <dataFields count="1">
    <dataField name="Sum of Amount" fld="4" baseField="0" baseItem="0"/>
  </dataFields>
  <chartFormats count="6">
    <chartFormat chart="0" format="0" series="1">
      <pivotArea type="data" outline="0" fieldPosition="0">
        <references count="1">
          <reference field="4294967294" count="1" selected="0">
            <x v="0"/>
          </reference>
        </references>
      </pivotArea>
    </chartFormat>
    <chartFormat chart="42" format="10" series="1">
      <pivotArea type="data" outline="0" fieldPosition="0">
        <references count="1">
          <reference field="4294967294" count="1" selected="0">
            <x v="0"/>
          </reference>
        </references>
      </pivotArea>
    </chartFormat>
    <chartFormat chart="42" format="11">
      <pivotArea type="data" outline="0" fieldPosition="0">
        <references count="2">
          <reference field="4294967294" count="1" selected="0">
            <x v="0"/>
          </reference>
          <reference field="2" count="1" selected="0">
            <x v="3"/>
          </reference>
        </references>
      </pivotArea>
    </chartFormat>
    <chartFormat chart="42" format="12">
      <pivotArea type="data" outline="0" fieldPosition="0">
        <references count="2">
          <reference field="4294967294" count="1" selected="0">
            <x v="0"/>
          </reference>
          <reference field="2" count="1" selected="0">
            <x v="8"/>
          </reference>
        </references>
      </pivotArea>
    </chartFormat>
    <chartFormat chart="42" format="13">
      <pivotArea type="data" outline="0" fieldPosition="0">
        <references count="2">
          <reference field="4294967294" count="1" selected="0">
            <x v="0"/>
          </reference>
          <reference field="2" count="1" selected="0">
            <x v="22"/>
          </reference>
        </references>
      </pivotArea>
    </chartFormat>
    <chartFormat chart="42" format="14">
      <pivotArea type="data" outline="0" fieldPosition="0">
        <references count="2">
          <reference field="4294967294" count="1" selected="0">
            <x v="0"/>
          </reference>
          <reference field="2"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D2D33F-1ECC-4C98-963A-ABC4E1BB6917}" name="PT_Saving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rowHeaderCaption="Month" fieldListSortAscending="1">
  <location ref="A126:E141" firstHeaderRow="1" firstDataRow="3" firstDataCol="1"/>
  <pivotFields count="7">
    <pivotField axis="axisRow" showAll="0" defaultSubtotal="0">
      <items count="1">
        <item x="0"/>
      </items>
    </pivotField>
    <pivotField axis="axisRow" showAll="0" defaultSubtotal="0">
      <items count="12">
        <item x="0"/>
        <item x="1"/>
        <item x="2"/>
        <item x="3"/>
        <item x="4"/>
        <item x="5"/>
        <item x="6"/>
        <item x="7"/>
        <item x="8"/>
        <item x="9"/>
        <item x="10"/>
        <item x="11"/>
      </items>
    </pivotField>
    <pivotField subtotalTop="0" showAll="0" defaultSubtotal="0"/>
    <pivotField showAll="0" sortType="descending" defaultSubtotal="0">
      <autoSortScope>
        <pivotArea dataOnly="0" outline="0" fieldPosition="0">
          <references count="2">
            <reference field="4294967294" count="1" selected="0">
              <x v="0"/>
            </reference>
            <reference field="6" count="1" selected="0">
              <x v="1"/>
            </reference>
          </references>
        </pivotArea>
      </autoSortScope>
    </pivotField>
    <pivotField dataField="1" showAll="0" defaultSubtotal="0"/>
    <pivotField axis="axisCol" showAll="0" defaultSubtotal="0">
      <items count="3">
        <item x="1"/>
        <item x="0"/>
        <item m="1" x="2"/>
      </items>
    </pivotField>
    <pivotField axis="axisCol" showAll="0" defaultSubtotal="0">
      <items count="2">
        <item x="0"/>
        <item x="1"/>
      </items>
    </pivotField>
  </pivotFields>
  <rowFields count="2">
    <field x="0"/>
    <field x="1"/>
  </rowFields>
  <rowItems count="13">
    <i>
      <x/>
    </i>
    <i r="1">
      <x/>
    </i>
    <i r="1">
      <x v="1"/>
    </i>
    <i r="1">
      <x v="2"/>
    </i>
    <i r="1">
      <x v="3"/>
    </i>
    <i r="1">
      <x v="4"/>
    </i>
    <i r="1">
      <x v="5"/>
    </i>
    <i r="1">
      <x v="6"/>
    </i>
    <i r="1">
      <x v="7"/>
    </i>
    <i r="1">
      <x v="8"/>
    </i>
    <i r="1">
      <x v="9"/>
    </i>
    <i r="1">
      <x v="10"/>
    </i>
    <i r="1">
      <x v="11"/>
    </i>
  </rowItems>
  <colFields count="2">
    <field x="6"/>
    <field x="5"/>
  </colFields>
  <colItems count="4">
    <i>
      <x/>
      <x/>
    </i>
    <i r="1">
      <x v="1"/>
    </i>
    <i>
      <x v="1"/>
      <x/>
    </i>
    <i r="1">
      <x v="1"/>
    </i>
  </colItems>
  <dataFields count="1">
    <dataField name="Sum of Amount" fld="4"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0"/>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2">
          <reference field="4294967294" count="1" selected="0">
            <x v="0"/>
          </reference>
          <reference field="6" count="1" selected="0">
            <x v="0"/>
          </reference>
        </references>
      </pivotArea>
    </chartFormat>
    <chartFormat chart="12" format="7" series="1">
      <pivotArea type="data" outline="0" fieldPosition="0">
        <references count="2">
          <reference field="4294967294" count="1" selected="0">
            <x v="0"/>
          </reference>
          <reference field="6" count="1" selected="0">
            <x v="1"/>
          </reference>
        </references>
      </pivotArea>
    </chartFormat>
    <chartFormat chart="19" format="4" series="1">
      <pivotArea type="data" outline="0" fieldPosition="0">
        <references count="2">
          <reference field="4294967294" count="1" selected="0">
            <x v="0"/>
          </reference>
          <reference field="6" count="1" selected="0">
            <x v="0"/>
          </reference>
        </references>
      </pivotArea>
    </chartFormat>
    <chartFormat chart="19"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C2888E-B712-48AB-9859-0A65A3588B1F}" name="PT_ExpenseDistribution"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52" rowHeaderCaption="Category" fieldListSortAscending="1">
  <location ref="A48:B61" firstHeaderRow="1" firstDataRow="1" firstDataCol="1" rowPageCount="2" colPageCount="1"/>
  <pivotFields count="7">
    <pivotField showAll="0" defaultSubtotal="0"/>
    <pivotField showAll="0" defaultSubtotal="0">
      <items count="12">
        <item x="0"/>
        <item x="1"/>
        <item x="2"/>
        <item x="3"/>
        <item x="4"/>
        <item x="5"/>
        <item x="6"/>
        <item x="7"/>
        <item x="8"/>
        <item x="9"/>
        <item x="10"/>
        <item x="11"/>
      </items>
    </pivotField>
    <pivotField subtotalTop="0" showAll="0" defaultSubtotal="0"/>
    <pivotField axis="axisRow" showAll="0" sortType="descending" defaultSubtotal="0">
      <items count="16">
        <item x="13"/>
        <item x="10"/>
        <item x="9"/>
        <item x="11"/>
        <item x="3"/>
        <item x="4"/>
        <item x="2"/>
        <item m="1" x="15"/>
        <item x="1"/>
        <item x="8"/>
        <item x="12"/>
        <item x="5"/>
        <item x="14"/>
        <item x="6"/>
        <item x="0"/>
        <item x="7"/>
      </items>
      <autoSortScope>
        <pivotArea dataOnly="0" outline="0" fieldPosition="0">
          <references count="1">
            <reference field="4294967294" count="1" selected="0">
              <x v="0"/>
            </reference>
          </references>
        </pivotArea>
      </autoSortScope>
    </pivotField>
    <pivotField dataField="1" showAll="0" defaultSubtotal="0"/>
    <pivotField axis="axisPage" showAll="0" defaultSubtotal="0">
      <items count="3">
        <item x="1"/>
        <item x="0"/>
        <item m="1" x="2"/>
      </items>
    </pivotField>
    <pivotField axis="axisPage" showAll="0" defaultSubtotal="0">
      <items count="2">
        <item x="0"/>
        <item x="1"/>
      </items>
    </pivotField>
  </pivotFields>
  <rowFields count="1">
    <field x="3"/>
  </rowFields>
  <rowItems count="13">
    <i>
      <x v="8"/>
    </i>
    <i>
      <x v="5"/>
    </i>
    <i>
      <x v="6"/>
    </i>
    <i>
      <x v="13"/>
    </i>
    <i>
      <x v="12"/>
    </i>
    <i>
      <x v="11"/>
    </i>
    <i>
      <x v="9"/>
    </i>
    <i>
      <x v="1"/>
    </i>
    <i>
      <x v="15"/>
    </i>
    <i>
      <x v="2"/>
    </i>
    <i>
      <x/>
    </i>
    <i>
      <x v="10"/>
    </i>
    <i>
      <x v="3"/>
    </i>
  </rowItems>
  <colItems count="1">
    <i/>
  </colItems>
  <pageFields count="2">
    <pageField fld="5" item="0" hier="-1"/>
    <pageField fld="6" item="0" hier="-1"/>
  </pageFields>
  <dataFields count="1">
    <dataField name="Sum of Amount" fld="4" baseField="0" baseItem="0"/>
  </dataFields>
  <conditionalFormats count="1">
    <conditionalFormat type="all" priority="11">
      <pivotAreas count="1">
        <pivotArea outline="0" fieldPosition="0">
          <references count="2">
            <reference field="5" count="1">
              <x v="0"/>
            </reference>
            <reference field="6" count="1" selected="0">
              <x v="0"/>
            </reference>
          </references>
        </pivotArea>
      </pivotAreas>
    </conditionalFormat>
  </conditionalFormats>
  <chartFormats count="4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0"/>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2">
          <reference field="4294967294" count="1" selected="0">
            <x v="0"/>
          </reference>
          <reference field="6" count="1" selected="0">
            <x v="0"/>
          </reference>
        </references>
      </pivotArea>
    </chartFormat>
    <chartFormat chart="12" format="7" series="1">
      <pivotArea type="data" outline="0" fieldPosition="0">
        <references count="2">
          <reference field="4294967294" count="1" selected="0">
            <x v="0"/>
          </reference>
          <reference field="6" count="1" selected="0">
            <x v="1"/>
          </reference>
        </references>
      </pivotArea>
    </chartFormat>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9" format="4" series="1">
      <pivotArea type="data" outline="0" fieldPosition="0">
        <references count="2">
          <reference field="4294967294" count="1" selected="0">
            <x v="0"/>
          </reference>
          <reference field="6" count="1" selected="0">
            <x v="0"/>
          </reference>
        </references>
      </pivotArea>
    </chartFormat>
    <chartFormat chart="19" format="5" series="1">
      <pivotArea type="data" outline="0" fieldPosition="0">
        <references count="2">
          <reference field="4294967294" count="1" selected="0">
            <x v="0"/>
          </reference>
          <reference field="6" count="1" selected="0">
            <x v="1"/>
          </reference>
        </references>
      </pivotArea>
    </chartFormat>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8"/>
          </reference>
        </references>
      </pivotArea>
    </chartFormat>
    <chartFormat chart="20" format="4">
      <pivotArea type="data" outline="0" fieldPosition="0">
        <references count="2">
          <reference field="4294967294" count="1" selected="0">
            <x v="0"/>
          </reference>
          <reference field="3" count="1" selected="0">
            <x v="0"/>
          </reference>
        </references>
      </pivotArea>
    </chartFormat>
    <chartFormat chart="20" format="5">
      <pivotArea type="data" outline="0" fieldPosition="0">
        <references count="2">
          <reference field="4294967294" count="1" selected="0">
            <x v="0"/>
          </reference>
          <reference field="3" count="1" selected="0">
            <x v="1"/>
          </reference>
        </references>
      </pivotArea>
    </chartFormat>
    <chartFormat chart="20" format="6">
      <pivotArea type="data" outline="0" fieldPosition="0">
        <references count="2">
          <reference field="4294967294" count="1" selected="0">
            <x v="0"/>
          </reference>
          <reference field="3" count="1" selected="0">
            <x v="2"/>
          </reference>
        </references>
      </pivotArea>
    </chartFormat>
    <chartFormat chart="20" format="7">
      <pivotArea type="data" outline="0" fieldPosition="0">
        <references count="2">
          <reference field="4294967294" count="1" selected="0">
            <x v="0"/>
          </reference>
          <reference field="3" count="1" selected="0">
            <x v="3"/>
          </reference>
        </references>
      </pivotArea>
    </chartFormat>
    <chartFormat chart="20" format="8">
      <pivotArea type="data" outline="0" fieldPosition="0">
        <references count="2">
          <reference field="4294967294" count="1" selected="0">
            <x v="0"/>
          </reference>
          <reference field="3" count="1" selected="0">
            <x v="5"/>
          </reference>
        </references>
      </pivotArea>
    </chartFormat>
    <chartFormat chart="20" format="9">
      <pivotArea type="data" outline="0" fieldPosition="0">
        <references count="2">
          <reference field="4294967294" count="1" selected="0">
            <x v="0"/>
          </reference>
          <reference field="3" count="1" selected="0">
            <x v="6"/>
          </reference>
        </references>
      </pivotArea>
    </chartFormat>
    <chartFormat chart="20" format="10">
      <pivotArea type="data" outline="0" fieldPosition="0">
        <references count="2">
          <reference field="4294967294" count="1" selected="0">
            <x v="0"/>
          </reference>
          <reference field="3" count="1" selected="0">
            <x v="7"/>
          </reference>
        </references>
      </pivotArea>
    </chartFormat>
    <chartFormat chart="20" format="11">
      <pivotArea type="data" outline="0" fieldPosition="0">
        <references count="2">
          <reference field="4294967294" count="1" selected="0">
            <x v="0"/>
          </reference>
          <reference field="3" count="1" selected="0">
            <x v="9"/>
          </reference>
        </references>
      </pivotArea>
    </chartFormat>
    <chartFormat chart="20" format="12">
      <pivotArea type="data" outline="0" fieldPosition="0">
        <references count="2">
          <reference field="4294967294" count="1" selected="0">
            <x v="0"/>
          </reference>
          <reference field="3" count="1" selected="0">
            <x v="10"/>
          </reference>
        </references>
      </pivotArea>
    </chartFormat>
    <chartFormat chart="20" format="13">
      <pivotArea type="data" outline="0" fieldPosition="0">
        <references count="2">
          <reference field="4294967294" count="1" selected="0">
            <x v="0"/>
          </reference>
          <reference field="3" count="1" selected="0">
            <x v="11"/>
          </reference>
        </references>
      </pivotArea>
    </chartFormat>
    <chartFormat chart="20" format="14">
      <pivotArea type="data" outline="0" fieldPosition="0">
        <references count="2">
          <reference field="4294967294" count="1" selected="0">
            <x v="0"/>
          </reference>
          <reference field="3" count="1" selected="0">
            <x v="12"/>
          </reference>
        </references>
      </pivotArea>
    </chartFormat>
    <chartFormat chart="20" format="15">
      <pivotArea type="data" outline="0" fieldPosition="0">
        <references count="2">
          <reference field="4294967294" count="1" selected="0">
            <x v="0"/>
          </reference>
          <reference field="3" count="1" selected="0">
            <x v="13"/>
          </reference>
        </references>
      </pivotArea>
    </chartFormat>
    <chartFormat chart="51" format="58" series="1">
      <pivotArea type="data" outline="0" fieldPosition="0">
        <references count="1">
          <reference field="4294967294" count="1" selected="0">
            <x v="0"/>
          </reference>
        </references>
      </pivotArea>
    </chartFormat>
    <chartFormat chart="51" format="59">
      <pivotArea type="data" outline="0" fieldPosition="0">
        <references count="2">
          <reference field="4294967294" count="1" selected="0">
            <x v="0"/>
          </reference>
          <reference field="3" count="1" selected="0">
            <x v="8"/>
          </reference>
        </references>
      </pivotArea>
    </chartFormat>
    <chartFormat chart="51" format="60">
      <pivotArea type="data" outline="0" fieldPosition="0">
        <references count="2">
          <reference field="4294967294" count="1" selected="0">
            <x v="0"/>
          </reference>
          <reference field="3" count="1" selected="0">
            <x v="5"/>
          </reference>
        </references>
      </pivotArea>
    </chartFormat>
    <chartFormat chart="51" format="61">
      <pivotArea type="data" outline="0" fieldPosition="0">
        <references count="2">
          <reference field="4294967294" count="1" selected="0">
            <x v="0"/>
          </reference>
          <reference field="3" count="1" selected="0">
            <x v="15"/>
          </reference>
        </references>
      </pivotArea>
    </chartFormat>
    <chartFormat chart="51" format="62">
      <pivotArea type="data" outline="0" fieldPosition="0">
        <references count="2">
          <reference field="4294967294" count="1" selected="0">
            <x v="0"/>
          </reference>
          <reference field="3" count="1" selected="0">
            <x v="0"/>
          </reference>
        </references>
      </pivotArea>
    </chartFormat>
    <chartFormat chart="51" format="63">
      <pivotArea type="data" outline="0" fieldPosition="0">
        <references count="2">
          <reference field="4294967294" count="1" selected="0">
            <x v="0"/>
          </reference>
          <reference field="3" count="1" selected="0">
            <x v="13"/>
          </reference>
        </references>
      </pivotArea>
    </chartFormat>
    <chartFormat chart="51" format="64">
      <pivotArea type="data" outline="0" fieldPosition="0">
        <references count="2">
          <reference field="4294967294" count="1" selected="0">
            <x v="0"/>
          </reference>
          <reference field="3" count="1" selected="0">
            <x v="6"/>
          </reference>
        </references>
      </pivotArea>
    </chartFormat>
    <chartFormat chart="51" format="65">
      <pivotArea type="data" outline="0" fieldPosition="0">
        <references count="2">
          <reference field="4294967294" count="1" selected="0">
            <x v="0"/>
          </reference>
          <reference field="3" count="1" selected="0">
            <x v="10"/>
          </reference>
        </references>
      </pivotArea>
    </chartFormat>
    <chartFormat chart="51" format="66">
      <pivotArea type="data" outline="0" fieldPosition="0">
        <references count="2">
          <reference field="4294967294" count="1" selected="0">
            <x v="0"/>
          </reference>
          <reference field="3" count="1" selected="0">
            <x v="9"/>
          </reference>
        </references>
      </pivotArea>
    </chartFormat>
    <chartFormat chart="51" format="67">
      <pivotArea type="data" outline="0" fieldPosition="0">
        <references count="2">
          <reference field="4294967294" count="1" selected="0">
            <x v="0"/>
          </reference>
          <reference field="3" count="1" selected="0">
            <x v="1"/>
          </reference>
        </references>
      </pivotArea>
    </chartFormat>
    <chartFormat chart="51" format="68">
      <pivotArea type="data" outline="0" fieldPosition="0">
        <references count="2">
          <reference field="4294967294" count="1" selected="0">
            <x v="0"/>
          </reference>
          <reference field="3" count="1" selected="0">
            <x v="11"/>
          </reference>
        </references>
      </pivotArea>
    </chartFormat>
    <chartFormat chart="51" format="6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9D9A486-E55D-4623-B83E-D2E7BC128DBF}" sourceName="Category">
  <pivotTables>
    <pivotTable tabId="21" name="PT_BudgetVsActual"/>
    <pivotTable tabId="21" name="PT_ExpenseByCategory"/>
    <pivotTable tabId="21" name="PT_ExpenseDistribution"/>
    <pivotTable tabId="21" name="PT_IncomeByMonth"/>
    <pivotTable tabId="21" name="PT_Variance"/>
  </pivotTables>
  <data>
    <tabular pivotCacheId="423063184">
      <items count="16">
        <i x="13" s="1"/>
        <i x="10" s="1"/>
        <i x="9" s="1"/>
        <i x="11" s="1"/>
        <i x="3" s="1"/>
        <i x="4" s="1"/>
        <i x="2" s="1"/>
        <i x="7" s="1"/>
        <i x="1" s="1"/>
        <i x="8" s="1"/>
        <i x="12" s="1"/>
        <i x="5" s="1"/>
        <i x="14" s="1"/>
        <i x="6" s="1"/>
        <i x="0"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6E0CCE6-AD55-427F-9BAD-2BECAAAB64C7}" sourceName="Month">
  <pivotTables>
    <pivotTable tabId="21" name="PT_BudgetVsActual"/>
    <pivotTable tabId="21" name="PT_ExpenseByCategory"/>
    <pivotTable tabId="21" name="PT_ExpenseDistribution"/>
    <pivotTable tabId="21" name="PT_IncomeByMonth"/>
    <pivotTable tabId="21" name="PT_Savings"/>
    <pivotTable tabId="21" name="PT_Variance"/>
    <pivotTable tabId="21" name="PT_IncomeBreakdown"/>
  </pivotTables>
  <data>
    <tabular pivotCacheId="42306318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A470D6F-8BCC-46B2-9323-19ACCF368B18}" cache="Slicer_Category1" caption="Category" columnCount="8" rowHeight="228600"/>
  <slicer name="Month" xr10:uid="{9FD987DE-BA8A-44A2-BC36-E43C6728E58F}" cache="Slicer_Month" caption="Month" columnCount="6"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FD140A-88BF-45B9-BEB1-ED9E8DD3274C}" name="Category_table" displayName="Category_table" ref="A3:C46" totalsRowShown="0" headerRowDxfId="41" dataDxfId="39" headerRowBorderDxfId="40" tableBorderDxfId="38" totalsRowBorderDxfId="37">
  <autoFilter ref="A3:C46" xr:uid="{43FD140A-88BF-45B9-BEB1-ED9E8DD3274C}"/>
  <tableColumns count="3">
    <tableColumn id="1" xr3:uid="{FCEBA68F-A18A-4191-97A3-E6689E6E0DF7}" name="Category" dataDxfId="36"/>
    <tableColumn id="3" xr3:uid="{9819897C-767D-40A7-B2D6-5623DC93686A}" name="Sub Category" dataDxfId="35"/>
    <tableColumn id="2" xr3:uid="{384F120F-850B-4F5E-A1A8-718B64138121}" name="Income/Expense"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1F2364E-E81E-45D3-A8CC-B9658D92651E}" name="Category_table20" displayName="Category_table20" ref="F3:H46" totalsRowShown="0" headerRowDxfId="33" dataDxfId="31" headerRowBorderDxfId="32" tableBorderDxfId="30" totalsRowBorderDxfId="29">
  <autoFilter ref="F3:H46" xr:uid="{81F2364E-E81E-45D3-A8CC-B9658D92651E}"/>
  <tableColumns count="3">
    <tableColumn id="1" xr3:uid="{12353026-ECB7-4B5D-B692-B6C062A1F24F}" name="Category" dataDxfId="28"/>
    <tableColumn id="3" xr3:uid="{5EE6249F-A876-47AC-855D-04677F12609C}" name="Sub Category" dataDxfId="27"/>
    <tableColumn id="2" xr3:uid="{B1547DF0-09EE-4801-9C8D-F541D094E1D6}" name="Income/Expense"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C73402-0332-418F-9ADC-2DF80CEA5069}" name="tbl_Budget_ByMonth" displayName="tbl_Budget_ByMonth" ref="A3:M18" totalsRowShown="0">
  <autoFilter ref="A3:M18" xr:uid="{68C73402-0332-418F-9ADC-2DF80CEA5069}"/>
  <tableColumns count="13">
    <tableColumn id="1" xr3:uid="{7C2C77CA-2113-450A-AF06-E5BF30693A1A}" name="Categories"/>
    <tableColumn id="2" xr3:uid="{EC331A42-AE87-45A9-920C-B8E234BC5864}" name="Jan" dataDxfId="25"/>
    <tableColumn id="3" xr3:uid="{9AC13F0D-25BE-433C-9468-6905EF270D3F}" name="Feb"/>
    <tableColumn id="4" xr3:uid="{179F6E58-9936-449E-A686-E258163E29A2}" name="Mar"/>
    <tableColumn id="5" xr3:uid="{CCE3CB67-593C-4627-961B-5A5218453453}" name="Apr"/>
    <tableColumn id="6" xr3:uid="{A47FF36D-AFFD-4648-99D8-B09895C6A062}" name="May"/>
    <tableColumn id="7" xr3:uid="{2C4BB939-67A4-4311-AA21-FF29E7124F93}" name="Jun"/>
    <tableColumn id="8" xr3:uid="{B0175319-673E-47B3-9863-98BE24F38046}" name="Jul"/>
    <tableColumn id="9" xr3:uid="{03213632-2F0C-49B0-BF19-B221CA300A09}" name="Aug"/>
    <tableColumn id="10" xr3:uid="{F9F2F761-3179-44B2-89BA-10B346699738}" name="Sep"/>
    <tableColumn id="11" xr3:uid="{4430A69D-214A-40F1-92FD-2F7B2689DC89}" name="Oct"/>
    <tableColumn id="12" xr3:uid="{8C282FCC-C24D-4ACD-9FA2-3585EA2DA3A7}" name="Nov"/>
    <tableColumn id="13" xr3:uid="{8BED6935-A904-4392-AC60-21599AE28A34}" name="Dec"/>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0086665-799A-42F1-B96F-989C624C7265}" name="tbl_Budget_unpivoted" displayName="tbl_Budget_unpivoted" ref="A21:D201" totalsRowShown="0">
  <autoFilter ref="A21:D201" xr:uid="{40086665-799A-42F1-B96F-989C624C7265}"/>
  <tableColumns count="4">
    <tableColumn id="1" xr3:uid="{55AD6F9D-637E-4F4F-A497-629E1A835BB6}" name="Categories" dataDxfId="24"/>
    <tableColumn id="2" xr3:uid="{222CC9D9-63FD-498A-BA7B-F49188C0DFD2}" name="Month" dataDxfId="23"/>
    <tableColumn id="3" xr3:uid="{02788EC3-AA0E-40A4-9725-CE23CF80F3D3}" name="Amount"/>
    <tableColumn id="4" xr3:uid="{AAD021EB-599F-4613-802B-8FE12D89963E}" name="Income/Expense"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838592-EDEF-4E93-BA06-A88E3A2F9556}" name="tbl_Actual" displayName="tbl_Actual" ref="A3:I329" totalsRowCount="1">
  <autoFilter ref="A3:I328" xr:uid="{52838592-EDEF-4E93-BA06-A88E3A2F9556}">
    <filterColumn colId="3">
      <filters>
        <filter val="Fixed"/>
        <filter val="Variable"/>
      </filters>
    </filterColumn>
  </autoFilter>
  <sortState xmlns:xlrd2="http://schemas.microsoft.com/office/spreadsheetml/2017/richdata2" ref="A4:I328">
    <sortCondition ref="A3:A328"/>
  </sortState>
  <tableColumns count="9">
    <tableColumn id="1" xr3:uid="{AAAB633D-4EDE-40E2-86E9-E92AB02439CC}" name="Date" dataDxfId="21" totalsRowDxfId="20"/>
    <tableColumn id="2" xr3:uid="{182C9867-DB0D-4E1F-8C36-0781BDED7121}" name="Month" dataDxfId="19" totalsRowDxfId="18"/>
    <tableColumn id="3" xr3:uid="{587C82CA-9018-44BC-AB0C-3870995ACED2}" name="Year"/>
    <tableColumn id="4" xr3:uid="{6E2A79A5-8193-49C1-BD8A-DD41EDB2B275}" name="Category" dataDxfId="17" totalsRowDxfId="16"/>
    <tableColumn id="5" xr3:uid="{43EFCC12-59C9-409B-806D-AC0D38FC5DB5}" name="Sub Category" dataDxfId="15" totalsRowDxfId="14"/>
    <tableColumn id="6" xr3:uid="{B4628C90-9DD2-4E1C-AB63-30BE8796D7FF}" name="Description" dataDxfId="13" totalsRowDxfId="12"/>
    <tableColumn id="7" xr3:uid="{779078A4-85B3-4518-BA24-91461ECB8051}" name="Amount" totalsRowFunction="custom">
      <totalsRowFormula>SUM(G4:G317)</totalsRowFormula>
    </tableColumn>
    <tableColumn id="8" xr3:uid="{F34C31AC-F7AB-4FEE-BABD-23EA1B30A677}" name="Income/Expense" dataDxfId="11" totalsRowDxfId="10"/>
    <tableColumn id="9" xr3:uid="{CFF261B6-7384-46CA-89A4-F7CB8527A4A0}" name="Payment Typ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3084B6E-B872-490D-B161-4E8105080D75}" name="Table10" displayName="Table10" ref="A151:F152" totalsRowShown="0">
  <autoFilter ref="A151:F152" xr:uid="{53084B6E-B872-490D-B161-4E8105080D75}"/>
  <tableColumns count="6">
    <tableColumn id="1" xr3:uid="{2CDF4E3C-B123-47A0-9458-544D314B5BB7}" name="Total Income" dataDxfId="9" dataCellStyle="Currency">
      <calculatedColumnFormula>IFERROR(GETPIVOTDATA("Amount",$A$69,"Data Type","Actual"),0)</calculatedColumnFormula>
    </tableColumn>
    <tableColumn id="2" xr3:uid="{F48C487C-00C5-46B2-A1D4-33C6DF83B5D8}" name="Total Expense" dataDxfId="7" dataCellStyle="Currency">
      <calculatedColumnFormula>IFERROR(GETPIVOTDATA("Amount",$A$26,"Data Type","Actual"),0)</calculatedColumnFormula>
    </tableColumn>
    <tableColumn id="3" xr3:uid="{99ECAF4C-CBF2-41FA-97D7-6F92BAAB9B51}" name="Net Savings" dataDxfId="8" dataCellStyle="Currency">
      <calculatedColumnFormula>Table10[[#This Row],[Total Income]]-Table10[[#This Row],[Total Expense]]</calculatedColumnFormula>
    </tableColumn>
    <tableColumn id="4" xr3:uid="{60B729E9-5C8D-4F4C-B7DC-10BFFE4BA657}" name="Total Budget" dataDxfId="6" dataCellStyle="Currency">
      <calculatedColumnFormula>IFERROR(GETPIVOTDATA("Amount",$A$26,"Data Type","Budget"), 0)</calculatedColumnFormula>
    </tableColumn>
    <tableColumn id="5" xr3:uid="{81001413-9042-47E5-8183-CE16D9AE1535}" name="Variance" dataDxfId="42">
      <calculatedColumnFormula>Table10[[#This Row],[Total Expense]]-Table10[[#This Row],[Total Budget]]</calculatedColumnFormula>
    </tableColumn>
    <tableColumn id="6" xr3:uid="{894EF301-46BE-473A-B213-C1D59AD797D0}" name="Budget Utilization" dataDxfId="5" dataCellStyle="Percent">
      <calculatedColumnFormula>IFERROR(GETPIVOTDATA("Amount",$A$26,"Data Type","Actual")/GETPIVOTDATA("Amount",$A$26,"Data Type","Budget"),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315A-789D-41ED-BE1B-15A9BD86F473}">
  <sheetPr codeName="Sheet1"/>
  <dimension ref="A1:H46"/>
  <sheetViews>
    <sheetView workbookViewId="0">
      <selection activeCell="E15" sqref="E15"/>
    </sheetView>
  </sheetViews>
  <sheetFormatPr defaultRowHeight="14.4" x14ac:dyDescent="0.3"/>
  <cols>
    <col min="1" max="1" width="21.5546875" bestFit="1" customWidth="1"/>
    <col min="2" max="2" width="22.5546875" bestFit="1" customWidth="1"/>
    <col min="3" max="3" width="17.44140625" bestFit="1" customWidth="1"/>
    <col min="5" max="5" width="21.5546875" bestFit="1" customWidth="1"/>
    <col min="6" max="6" width="22.5546875" bestFit="1" customWidth="1"/>
    <col min="7" max="7" width="17.44140625" bestFit="1" customWidth="1"/>
  </cols>
  <sheetData>
    <row r="1" spans="1:8" s="20" customFormat="1" ht="72.599999999999994" customHeight="1" x14ac:dyDescent="0.3">
      <c r="A1" s="18"/>
      <c r="B1" s="19" t="s">
        <v>120</v>
      </c>
      <c r="C1" s="18"/>
    </row>
    <row r="3" spans="1:8" ht="15" thickBot="1" x14ac:dyDescent="0.35">
      <c r="A3" s="8" t="s">
        <v>1</v>
      </c>
      <c r="B3" s="9" t="s">
        <v>39</v>
      </c>
      <c r="C3" s="10" t="s">
        <v>72</v>
      </c>
      <c r="F3" s="8" t="s">
        <v>1</v>
      </c>
      <c r="G3" s="9" t="s">
        <v>39</v>
      </c>
      <c r="H3" s="10" t="s">
        <v>72</v>
      </c>
    </row>
    <row r="4" spans="1:8" ht="15" thickTop="1" x14ac:dyDescent="0.3">
      <c r="A4" s="11" t="s">
        <v>55</v>
      </c>
      <c r="B4" s="12" t="s">
        <v>41</v>
      </c>
      <c r="C4" s="13" t="s">
        <v>45</v>
      </c>
      <c r="F4" s="11" t="s">
        <v>55</v>
      </c>
      <c r="G4" s="12" t="s">
        <v>41</v>
      </c>
      <c r="H4" s="13" t="s">
        <v>45</v>
      </c>
    </row>
    <row r="5" spans="1:8" x14ac:dyDescent="0.3">
      <c r="A5" s="14" t="s">
        <v>42</v>
      </c>
      <c r="B5" s="15" t="s">
        <v>70</v>
      </c>
      <c r="C5" s="16" t="s">
        <v>45</v>
      </c>
      <c r="F5" s="14" t="s">
        <v>42</v>
      </c>
      <c r="G5" s="15" t="s">
        <v>70</v>
      </c>
      <c r="H5" s="16" t="s">
        <v>45</v>
      </c>
    </row>
    <row r="6" spans="1:8" x14ac:dyDescent="0.3">
      <c r="A6" s="14" t="s">
        <v>42</v>
      </c>
      <c r="B6" s="12" t="s">
        <v>43</v>
      </c>
      <c r="C6" s="16" t="s">
        <v>45</v>
      </c>
      <c r="F6" s="14" t="s">
        <v>42</v>
      </c>
      <c r="G6" s="12" t="s">
        <v>43</v>
      </c>
      <c r="H6" s="16" t="s">
        <v>45</v>
      </c>
    </row>
    <row r="7" spans="1:8" x14ac:dyDescent="0.3">
      <c r="A7" s="14" t="s">
        <v>42</v>
      </c>
      <c r="B7" s="12" t="s">
        <v>46</v>
      </c>
      <c r="C7" s="16" t="s">
        <v>45</v>
      </c>
      <c r="F7" s="14" t="s">
        <v>42</v>
      </c>
      <c r="G7" s="12" t="s">
        <v>46</v>
      </c>
      <c r="H7" s="16" t="s">
        <v>45</v>
      </c>
    </row>
    <row r="8" spans="1:8" x14ac:dyDescent="0.3">
      <c r="A8" s="14" t="s">
        <v>74</v>
      </c>
      <c r="B8" s="15" t="s">
        <v>75</v>
      </c>
      <c r="C8" s="16" t="s">
        <v>49</v>
      </c>
      <c r="F8" s="14" t="s">
        <v>74</v>
      </c>
      <c r="G8" s="15" t="s">
        <v>75</v>
      </c>
      <c r="H8" s="16" t="s">
        <v>49</v>
      </c>
    </row>
    <row r="9" spans="1:8" x14ac:dyDescent="0.3">
      <c r="A9" s="14" t="s">
        <v>74</v>
      </c>
      <c r="B9" s="15" t="s">
        <v>26</v>
      </c>
      <c r="C9" s="16" t="s">
        <v>49</v>
      </c>
      <c r="F9" s="14" t="s">
        <v>74</v>
      </c>
      <c r="G9" s="15" t="s">
        <v>26</v>
      </c>
      <c r="H9" s="16" t="s">
        <v>49</v>
      </c>
    </row>
    <row r="10" spans="1:8" x14ac:dyDescent="0.3">
      <c r="A10" t="s">
        <v>7</v>
      </c>
      <c r="B10" t="s">
        <v>8</v>
      </c>
      <c r="C10" s="16" t="s">
        <v>49</v>
      </c>
      <c r="F10" t="s">
        <v>7</v>
      </c>
      <c r="G10" t="s">
        <v>8</v>
      </c>
      <c r="H10" s="16" t="s">
        <v>49</v>
      </c>
    </row>
    <row r="11" spans="1:8" x14ac:dyDescent="0.3">
      <c r="A11" t="s">
        <v>7</v>
      </c>
      <c r="B11" s="15" t="s">
        <v>76</v>
      </c>
      <c r="C11" s="16" t="s">
        <v>49</v>
      </c>
      <c r="F11" t="s">
        <v>7</v>
      </c>
      <c r="G11" s="15" t="s">
        <v>76</v>
      </c>
      <c r="H11" s="16" t="s">
        <v>49</v>
      </c>
    </row>
    <row r="12" spans="1:8" x14ac:dyDescent="0.3">
      <c r="A12" t="s">
        <v>7</v>
      </c>
      <c r="B12" s="15" t="s">
        <v>17</v>
      </c>
      <c r="C12" s="16" t="s">
        <v>49</v>
      </c>
      <c r="F12" t="s">
        <v>7</v>
      </c>
      <c r="G12" s="15" t="s">
        <v>17</v>
      </c>
      <c r="H12" s="16" t="s">
        <v>49</v>
      </c>
    </row>
    <row r="13" spans="1:8" x14ac:dyDescent="0.3">
      <c r="A13" t="s">
        <v>7</v>
      </c>
      <c r="B13" s="15" t="s">
        <v>77</v>
      </c>
      <c r="C13" s="16" t="s">
        <v>49</v>
      </c>
      <c r="F13" t="s">
        <v>7</v>
      </c>
      <c r="G13" s="15" t="s">
        <v>77</v>
      </c>
      <c r="H13" s="16" t="s">
        <v>49</v>
      </c>
    </row>
    <row r="14" spans="1:8" x14ac:dyDescent="0.3">
      <c r="A14" s="14" t="s">
        <v>4</v>
      </c>
      <c r="B14" s="15" t="s">
        <v>14</v>
      </c>
      <c r="C14" s="16" t="s">
        <v>49</v>
      </c>
      <c r="F14" s="14" t="s">
        <v>4</v>
      </c>
      <c r="G14" s="15" t="s">
        <v>14</v>
      </c>
      <c r="H14" s="16" t="s">
        <v>49</v>
      </c>
    </row>
    <row r="15" spans="1:8" x14ac:dyDescent="0.3">
      <c r="A15" s="14" t="s">
        <v>4</v>
      </c>
      <c r="B15" s="15" t="s">
        <v>19</v>
      </c>
      <c r="C15" s="16" t="s">
        <v>49</v>
      </c>
      <c r="F15" s="14" t="s">
        <v>4</v>
      </c>
      <c r="G15" s="15" t="s">
        <v>19</v>
      </c>
      <c r="H15" s="16" t="s">
        <v>49</v>
      </c>
    </row>
    <row r="16" spans="1:8" x14ac:dyDescent="0.3">
      <c r="A16" s="14" t="s">
        <v>4</v>
      </c>
      <c r="B16" s="15" t="s">
        <v>5</v>
      </c>
      <c r="C16" s="16" t="s">
        <v>49</v>
      </c>
      <c r="F16" s="14" t="s">
        <v>4</v>
      </c>
      <c r="G16" s="15" t="s">
        <v>5</v>
      </c>
      <c r="H16" s="16" t="s">
        <v>49</v>
      </c>
    </row>
    <row r="17" spans="1:8" x14ac:dyDescent="0.3">
      <c r="A17" s="14" t="s">
        <v>4</v>
      </c>
      <c r="B17" s="15" t="s">
        <v>78</v>
      </c>
      <c r="C17" s="16" t="s">
        <v>49</v>
      </c>
      <c r="F17" s="14" t="s">
        <v>4</v>
      </c>
      <c r="G17" s="15" t="s">
        <v>78</v>
      </c>
      <c r="H17" s="16" t="s">
        <v>49</v>
      </c>
    </row>
    <row r="18" spans="1:8" x14ac:dyDescent="0.3">
      <c r="A18" s="14" t="s">
        <v>12</v>
      </c>
      <c r="B18" s="15" t="s">
        <v>108</v>
      </c>
      <c r="C18" s="16" t="s">
        <v>49</v>
      </c>
      <c r="F18" s="14" t="s">
        <v>12</v>
      </c>
      <c r="G18" s="15" t="s">
        <v>108</v>
      </c>
      <c r="H18" s="16" t="s">
        <v>49</v>
      </c>
    </row>
    <row r="19" spans="1:8" x14ac:dyDescent="0.3">
      <c r="A19" s="14" t="s">
        <v>12</v>
      </c>
      <c r="B19" s="15" t="s">
        <v>18</v>
      </c>
      <c r="C19" s="16" t="s">
        <v>49</v>
      </c>
      <c r="F19" s="14" t="s">
        <v>12</v>
      </c>
      <c r="G19" s="15" t="s">
        <v>18</v>
      </c>
      <c r="H19" s="16" t="s">
        <v>49</v>
      </c>
    </row>
    <row r="20" spans="1:8" x14ac:dyDescent="0.3">
      <c r="A20" s="14" t="s">
        <v>79</v>
      </c>
      <c r="B20" s="15" t="s">
        <v>80</v>
      </c>
      <c r="C20" s="16" t="s">
        <v>49</v>
      </c>
      <c r="F20" s="14" t="s">
        <v>79</v>
      </c>
      <c r="G20" s="15" t="s">
        <v>80</v>
      </c>
      <c r="H20" s="16" t="s">
        <v>49</v>
      </c>
    </row>
    <row r="21" spans="1:8" x14ac:dyDescent="0.3">
      <c r="A21" s="14" t="s">
        <v>79</v>
      </c>
      <c r="B21" s="15" t="s">
        <v>53</v>
      </c>
      <c r="C21" s="16" t="s">
        <v>49</v>
      </c>
      <c r="F21" s="14" t="s">
        <v>79</v>
      </c>
      <c r="G21" s="15" t="s">
        <v>53</v>
      </c>
      <c r="H21" s="16" t="s">
        <v>49</v>
      </c>
    </row>
    <row r="22" spans="1:8" x14ac:dyDescent="0.3">
      <c r="A22" s="14" t="s">
        <v>79</v>
      </c>
      <c r="B22" s="15" t="s">
        <v>81</v>
      </c>
      <c r="C22" s="16" t="s">
        <v>49</v>
      </c>
      <c r="F22" s="14" t="s">
        <v>79</v>
      </c>
      <c r="G22" s="15" t="s">
        <v>81</v>
      </c>
      <c r="H22" s="16" t="s">
        <v>49</v>
      </c>
    </row>
    <row r="23" spans="1:8" x14ac:dyDescent="0.3">
      <c r="A23" s="14" t="s">
        <v>67</v>
      </c>
      <c r="B23" s="15" t="s">
        <v>82</v>
      </c>
      <c r="C23" s="16" t="s">
        <v>49</v>
      </c>
      <c r="F23" s="14" t="s">
        <v>67</v>
      </c>
      <c r="G23" s="15" t="s">
        <v>82</v>
      </c>
      <c r="H23" s="16" t="s">
        <v>49</v>
      </c>
    </row>
    <row r="24" spans="1:8" x14ac:dyDescent="0.3">
      <c r="A24" s="14" t="s">
        <v>67</v>
      </c>
      <c r="B24" s="15" t="s">
        <v>83</v>
      </c>
      <c r="C24" s="16" t="s">
        <v>49</v>
      </c>
      <c r="F24" s="14" t="s">
        <v>67</v>
      </c>
      <c r="G24" s="15" t="s">
        <v>83</v>
      </c>
      <c r="H24" s="16" t="s">
        <v>49</v>
      </c>
    </row>
    <row r="25" spans="1:8" x14ac:dyDescent="0.3">
      <c r="A25" s="14" t="s">
        <v>67</v>
      </c>
      <c r="B25" s="15" t="s">
        <v>84</v>
      </c>
      <c r="C25" s="16" t="s">
        <v>49</v>
      </c>
      <c r="F25" s="14" t="s">
        <v>67</v>
      </c>
      <c r="G25" s="15" t="s">
        <v>84</v>
      </c>
      <c r="H25" s="16" t="s">
        <v>49</v>
      </c>
    </row>
    <row r="26" spans="1:8" x14ac:dyDescent="0.3">
      <c r="A26" s="14" t="s">
        <v>67</v>
      </c>
      <c r="B26" s="15" t="s">
        <v>85</v>
      </c>
      <c r="C26" s="16" t="s">
        <v>49</v>
      </c>
      <c r="F26" s="14" t="s">
        <v>67</v>
      </c>
      <c r="G26" s="15" t="s">
        <v>85</v>
      </c>
      <c r="H26" s="16" t="s">
        <v>49</v>
      </c>
    </row>
    <row r="27" spans="1:8" x14ac:dyDescent="0.3">
      <c r="A27" s="14" t="s">
        <v>67</v>
      </c>
      <c r="B27" s="15" t="s">
        <v>15</v>
      </c>
      <c r="C27" s="16" t="s">
        <v>49</v>
      </c>
      <c r="F27" s="14" t="s">
        <v>67</v>
      </c>
      <c r="G27" s="15" t="s">
        <v>15</v>
      </c>
      <c r="H27" s="16" t="s">
        <v>49</v>
      </c>
    </row>
    <row r="28" spans="1:8" x14ac:dyDescent="0.3">
      <c r="A28" s="14" t="s">
        <v>86</v>
      </c>
      <c r="B28" s="15" t="s">
        <v>28</v>
      </c>
      <c r="C28" s="16" t="s">
        <v>49</v>
      </c>
      <c r="F28" s="14" t="s">
        <v>86</v>
      </c>
      <c r="G28" s="15" t="s">
        <v>28</v>
      </c>
      <c r="H28" s="16" t="s">
        <v>49</v>
      </c>
    </row>
    <row r="29" spans="1:8" x14ac:dyDescent="0.3">
      <c r="A29" s="14" t="s">
        <v>86</v>
      </c>
      <c r="B29" s="15" t="s">
        <v>87</v>
      </c>
      <c r="C29" s="16" t="s">
        <v>49</v>
      </c>
      <c r="F29" s="14" t="s">
        <v>86</v>
      </c>
      <c r="G29" s="15" t="s">
        <v>87</v>
      </c>
      <c r="H29" s="16" t="s">
        <v>49</v>
      </c>
    </row>
    <row r="30" spans="1:8" x14ac:dyDescent="0.3">
      <c r="A30" s="14" t="s">
        <v>86</v>
      </c>
      <c r="B30" s="15" t="s">
        <v>88</v>
      </c>
      <c r="C30" s="16" t="s">
        <v>49</v>
      </c>
      <c r="F30" s="14" t="s">
        <v>86</v>
      </c>
      <c r="G30" s="15" t="s">
        <v>88</v>
      </c>
      <c r="H30" s="16" t="s">
        <v>49</v>
      </c>
    </row>
    <row r="31" spans="1:8" x14ac:dyDescent="0.3">
      <c r="A31" s="14" t="s">
        <v>86</v>
      </c>
      <c r="B31" s="15" t="s">
        <v>89</v>
      </c>
      <c r="C31" s="16" t="s">
        <v>49</v>
      </c>
      <c r="F31" s="14" t="s">
        <v>86</v>
      </c>
      <c r="G31" s="15" t="s">
        <v>89</v>
      </c>
      <c r="H31" s="16" t="s">
        <v>49</v>
      </c>
    </row>
    <row r="32" spans="1:8" x14ac:dyDescent="0.3">
      <c r="A32" s="14" t="s">
        <v>10</v>
      </c>
      <c r="B32" s="15" t="s">
        <v>90</v>
      </c>
      <c r="C32" s="16" t="s">
        <v>49</v>
      </c>
      <c r="F32" s="14" t="s">
        <v>10</v>
      </c>
      <c r="G32" s="15" t="s">
        <v>90</v>
      </c>
      <c r="H32" s="16" t="s">
        <v>49</v>
      </c>
    </row>
    <row r="33" spans="1:8" x14ac:dyDescent="0.3">
      <c r="A33" s="14" t="s">
        <v>10</v>
      </c>
      <c r="B33" s="15" t="s">
        <v>11</v>
      </c>
      <c r="C33" s="16" t="s">
        <v>49</v>
      </c>
      <c r="F33" s="14" t="s">
        <v>10</v>
      </c>
      <c r="G33" s="15" t="s">
        <v>11</v>
      </c>
      <c r="H33" s="16" t="s">
        <v>49</v>
      </c>
    </row>
    <row r="34" spans="1:8" x14ac:dyDescent="0.3">
      <c r="A34" s="14" t="s">
        <v>10</v>
      </c>
      <c r="B34" s="15" t="s">
        <v>25</v>
      </c>
      <c r="C34" s="16" t="s">
        <v>49</v>
      </c>
      <c r="F34" s="14" t="s">
        <v>10</v>
      </c>
      <c r="G34" s="15" t="s">
        <v>25</v>
      </c>
      <c r="H34" s="16" t="s">
        <v>49</v>
      </c>
    </row>
    <row r="35" spans="1:8" x14ac:dyDescent="0.3">
      <c r="A35" s="14" t="s">
        <v>10</v>
      </c>
      <c r="B35" s="15" t="s">
        <v>91</v>
      </c>
      <c r="C35" s="16" t="s">
        <v>49</v>
      </c>
      <c r="F35" s="14" t="s">
        <v>10</v>
      </c>
      <c r="G35" s="15" t="s">
        <v>91</v>
      </c>
      <c r="H35" s="16" t="s">
        <v>49</v>
      </c>
    </row>
    <row r="36" spans="1:8" x14ac:dyDescent="0.3">
      <c r="A36" s="14" t="s">
        <v>100</v>
      </c>
      <c r="B36" s="15" t="s">
        <v>16</v>
      </c>
      <c r="C36" s="16" t="s">
        <v>49</v>
      </c>
      <c r="F36" s="14" t="s">
        <v>100</v>
      </c>
      <c r="G36" s="15" t="s">
        <v>16</v>
      </c>
      <c r="H36" s="16" t="s">
        <v>49</v>
      </c>
    </row>
    <row r="37" spans="1:8" x14ac:dyDescent="0.3">
      <c r="A37" s="14" t="s">
        <v>100</v>
      </c>
      <c r="B37" s="15" t="s">
        <v>92</v>
      </c>
      <c r="C37" s="16" t="s">
        <v>49</v>
      </c>
      <c r="F37" s="14" t="s">
        <v>100</v>
      </c>
      <c r="G37" s="15" t="s">
        <v>92</v>
      </c>
      <c r="H37" s="16" t="s">
        <v>49</v>
      </c>
    </row>
    <row r="38" spans="1:8" x14ac:dyDescent="0.3">
      <c r="A38" s="14" t="s">
        <v>100</v>
      </c>
      <c r="B38" s="15" t="s">
        <v>93</v>
      </c>
      <c r="C38" s="16" t="s">
        <v>49</v>
      </c>
      <c r="F38" s="14" t="s">
        <v>100</v>
      </c>
      <c r="G38" s="15" t="s">
        <v>93</v>
      </c>
      <c r="H38" s="16" t="s">
        <v>49</v>
      </c>
    </row>
    <row r="39" spans="1:8" x14ac:dyDescent="0.3">
      <c r="A39" s="14" t="s">
        <v>100</v>
      </c>
      <c r="B39" s="15" t="s">
        <v>94</v>
      </c>
      <c r="C39" s="16" t="s">
        <v>49</v>
      </c>
      <c r="F39" s="14" t="s">
        <v>100</v>
      </c>
      <c r="G39" s="15" t="s">
        <v>94</v>
      </c>
      <c r="H39" s="16" t="s">
        <v>49</v>
      </c>
    </row>
    <row r="40" spans="1:8" x14ac:dyDescent="0.3">
      <c r="A40" s="14" t="s">
        <v>113</v>
      </c>
      <c r="B40" s="15" t="s">
        <v>14</v>
      </c>
      <c r="C40" s="16" t="s">
        <v>49</v>
      </c>
      <c r="F40" s="14" t="s">
        <v>95</v>
      </c>
      <c r="G40" s="15" t="s">
        <v>14</v>
      </c>
      <c r="H40" s="16" t="s">
        <v>49</v>
      </c>
    </row>
    <row r="41" spans="1:8" x14ac:dyDescent="0.3">
      <c r="A41" s="14" t="s">
        <v>113</v>
      </c>
      <c r="B41" s="15" t="s">
        <v>16</v>
      </c>
      <c r="C41" s="16" t="s">
        <v>49</v>
      </c>
      <c r="F41" s="14" t="s">
        <v>95</v>
      </c>
      <c r="G41" s="15" t="s">
        <v>16</v>
      </c>
      <c r="H41" s="16" t="s">
        <v>49</v>
      </c>
    </row>
    <row r="42" spans="1:8" x14ac:dyDescent="0.3">
      <c r="A42" s="14" t="s">
        <v>113</v>
      </c>
      <c r="B42" s="15" t="s">
        <v>5</v>
      </c>
      <c r="C42" s="16" t="s">
        <v>49</v>
      </c>
      <c r="F42" s="14" t="s">
        <v>95</v>
      </c>
      <c r="G42" s="15" t="s">
        <v>5</v>
      </c>
      <c r="H42" s="16" t="s">
        <v>49</v>
      </c>
    </row>
    <row r="43" spans="1:8" x14ac:dyDescent="0.3">
      <c r="A43" s="14" t="s">
        <v>31</v>
      </c>
      <c r="B43" s="15" t="s">
        <v>32</v>
      </c>
      <c r="C43" s="16" t="s">
        <v>49</v>
      </c>
      <c r="F43" s="14" t="s">
        <v>31</v>
      </c>
      <c r="G43" s="15" t="s">
        <v>32</v>
      </c>
      <c r="H43" s="16" t="s">
        <v>49</v>
      </c>
    </row>
    <row r="44" spans="1:8" x14ac:dyDescent="0.3">
      <c r="A44" s="14" t="s">
        <v>59</v>
      </c>
      <c r="B44" s="15" t="s">
        <v>60</v>
      </c>
      <c r="C44" s="16" t="s">
        <v>49</v>
      </c>
      <c r="F44" s="14" t="s">
        <v>59</v>
      </c>
      <c r="G44" s="15" t="s">
        <v>60</v>
      </c>
      <c r="H44" s="16" t="s">
        <v>49</v>
      </c>
    </row>
    <row r="45" spans="1:8" x14ac:dyDescent="0.3">
      <c r="A45" s="14" t="s">
        <v>59</v>
      </c>
      <c r="B45" s="15" t="s">
        <v>40</v>
      </c>
      <c r="C45" s="16" t="s">
        <v>49</v>
      </c>
      <c r="F45" s="14" t="s">
        <v>59</v>
      </c>
      <c r="G45" s="15" t="s">
        <v>40</v>
      </c>
      <c r="H45" s="16" t="s">
        <v>49</v>
      </c>
    </row>
    <row r="46" spans="1:8" x14ac:dyDescent="0.3">
      <c r="A46" s="14" t="s">
        <v>96</v>
      </c>
      <c r="B46" s="15" t="s">
        <v>96</v>
      </c>
      <c r="C46" s="16" t="s">
        <v>49</v>
      </c>
      <c r="F46" s="14" t="s">
        <v>96</v>
      </c>
      <c r="G46" s="15" t="s">
        <v>96</v>
      </c>
      <c r="H46" s="16" t="s">
        <v>49</v>
      </c>
    </row>
  </sheetData>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709F6-5AA5-4B09-AE8B-1CFEC33F0666}">
  <sheetPr codeName="Sheet2"/>
  <dimension ref="A1:M201"/>
  <sheetViews>
    <sheetView workbookViewId="0">
      <selection activeCell="A22" sqref="A22:A201"/>
    </sheetView>
  </sheetViews>
  <sheetFormatPr defaultRowHeight="14.4" x14ac:dyDescent="0.3"/>
  <cols>
    <col min="1" max="1" width="21.6640625" bestFit="1" customWidth="1"/>
    <col min="2" max="2" width="9" bestFit="1" customWidth="1"/>
    <col min="3" max="3" width="10.109375" bestFit="1" customWidth="1"/>
    <col min="4" max="4" width="17.44140625" bestFit="1" customWidth="1"/>
    <col min="5" max="5" width="21.5546875" bestFit="1" customWidth="1"/>
    <col min="6" max="6" width="22.5546875" bestFit="1" customWidth="1"/>
    <col min="7" max="7" width="17.44140625" bestFit="1" customWidth="1"/>
    <col min="9" max="9" width="11.6640625" bestFit="1" customWidth="1"/>
    <col min="10" max="11" width="12.6640625" bestFit="1" customWidth="1"/>
  </cols>
  <sheetData>
    <row r="1" spans="1:13" s="21" customFormat="1" ht="69" customHeight="1" x14ac:dyDescent="0.3">
      <c r="A1" s="17"/>
      <c r="B1" s="19" t="s">
        <v>121</v>
      </c>
      <c r="C1" s="18"/>
      <c r="D1" s="18"/>
      <c r="E1" s="18"/>
      <c r="F1" s="18"/>
      <c r="G1" s="18"/>
      <c r="H1" s="18"/>
      <c r="I1" s="18"/>
      <c r="J1" s="18"/>
      <c r="K1" s="18"/>
      <c r="L1" s="18"/>
      <c r="M1" s="18"/>
    </row>
    <row r="3" spans="1:13" x14ac:dyDescent="0.3">
      <c r="A3" t="s">
        <v>126</v>
      </c>
      <c r="B3" t="s">
        <v>33</v>
      </c>
      <c r="C3" t="s">
        <v>34</v>
      </c>
      <c r="D3" t="s">
        <v>35</v>
      </c>
      <c r="E3" t="s">
        <v>36</v>
      </c>
      <c r="F3" t="s">
        <v>30</v>
      </c>
      <c r="G3" t="s">
        <v>37</v>
      </c>
      <c r="H3" t="s">
        <v>114</v>
      </c>
      <c r="I3" t="s">
        <v>115</v>
      </c>
      <c r="J3" t="s">
        <v>116</v>
      </c>
      <c r="K3" t="s">
        <v>117</v>
      </c>
      <c r="L3" t="s">
        <v>118</v>
      </c>
      <c r="M3" t="s">
        <v>119</v>
      </c>
    </row>
    <row r="4" spans="1:13" x14ac:dyDescent="0.3">
      <c r="A4" t="s">
        <v>55</v>
      </c>
      <c r="B4">
        <v>6500</v>
      </c>
      <c r="C4">
        <v>6500</v>
      </c>
      <c r="D4">
        <v>9750</v>
      </c>
      <c r="E4">
        <v>6500</v>
      </c>
      <c r="F4">
        <v>6500</v>
      </c>
      <c r="G4">
        <v>6500</v>
      </c>
      <c r="H4">
        <v>6500</v>
      </c>
      <c r="I4">
        <v>6500</v>
      </c>
      <c r="J4">
        <v>9750</v>
      </c>
      <c r="K4">
        <v>6500</v>
      </c>
      <c r="L4">
        <v>6500</v>
      </c>
      <c r="M4">
        <v>6500</v>
      </c>
    </row>
    <row r="5" spans="1:13" x14ac:dyDescent="0.3">
      <c r="A5" t="s">
        <v>42</v>
      </c>
      <c r="B5">
        <v>160</v>
      </c>
      <c r="C5">
        <v>40</v>
      </c>
      <c r="D5">
        <v>40</v>
      </c>
      <c r="E5">
        <v>290</v>
      </c>
      <c r="F5">
        <v>40</v>
      </c>
      <c r="G5">
        <v>40</v>
      </c>
      <c r="H5">
        <v>160</v>
      </c>
      <c r="I5">
        <v>40</v>
      </c>
      <c r="J5">
        <v>40</v>
      </c>
      <c r="K5">
        <v>40</v>
      </c>
      <c r="L5">
        <v>40</v>
      </c>
      <c r="M5">
        <v>40</v>
      </c>
    </row>
    <row r="6" spans="1:13" x14ac:dyDescent="0.3">
      <c r="A6" t="s">
        <v>74</v>
      </c>
      <c r="B6">
        <v>4712</v>
      </c>
      <c r="C6">
        <v>2712</v>
      </c>
      <c r="D6">
        <v>2712</v>
      </c>
      <c r="E6">
        <v>2712</v>
      </c>
      <c r="F6">
        <v>2712</v>
      </c>
      <c r="G6">
        <v>2712</v>
      </c>
      <c r="H6">
        <v>2712</v>
      </c>
      <c r="I6">
        <v>2712</v>
      </c>
      <c r="J6">
        <v>2712</v>
      </c>
      <c r="K6">
        <v>2712</v>
      </c>
      <c r="L6">
        <v>2712</v>
      </c>
      <c r="M6">
        <v>2712</v>
      </c>
    </row>
    <row r="7" spans="1:13" x14ac:dyDescent="0.3">
      <c r="A7" t="s">
        <v>7</v>
      </c>
      <c r="B7">
        <v>355</v>
      </c>
      <c r="C7">
        <v>350</v>
      </c>
      <c r="D7">
        <v>310</v>
      </c>
      <c r="E7">
        <v>275</v>
      </c>
      <c r="F7">
        <v>275</v>
      </c>
      <c r="G7">
        <v>290</v>
      </c>
      <c r="H7">
        <v>365</v>
      </c>
      <c r="I7">
        <v>325</v>
      </c>
      <c r="J7">
        <v>280</v>
      </c>
      <c r="K7">
        <v>300</v>
      </c>
      <c r="L7">
        <v>320</v>
      </c>
      <c r="M7">
        <v>350</v>
      </c>
    </row>
    <row r="8" spans="1:13" x14ac:dyDescent="0.3">
      <c r="A8" t="s">
        <v>4</v>
      </c>
      <c r="B8">
        <v>610</v>
      </c>
      <c r="C8">
        <v>620</v>
      </c>
      <c r="D8">
        <v>630</v>
      </c>
      <c r="E8">
        <v>640</v>
      </c>
      <c r="F8">
        <v>650</v>
      </c>
      <c r="G8">
        <v>660</v>
      </c>
      <c r="H8">
        <v>670</v>
      </c>
      <c r="I8">
        <v>680</v>
      </c>
      <c r="J8">
        <v>690</v>
      </c>
      <c r="K8">
        <v>700</v>
      </c>
      <c r="L8">
        <v>710</v>
      </c>
      <c r="M8">
        <v>720</v>
      </c>
    </row>
    <row r="9" spans="1:13" x14ac:dyDescent="0.3">
      <c r="A9" t="s">
        <v>12</v>
      </c>
      <c r="B9">
        <v>150</v>
      </c>
      <c r="C9">
        <v>150</v>
      </c>
      <c r="D9">
        <v>150</v>
      </c>
      <c r="E9">
        <v>150</v>
      </c>
      <c r="F9">
        <v>150</v>
      </c>
      <c r="G9">
        <v>150</v>
      </c>
      <c r="H9">
        <v>150</v>
      </c>
      <c r="I9">
        <v>150</v>
      </c>
      <c r="J9">
        <v>150</v>
      </c>
      <c r="K9">
        <v>150</v>
      </c>
      <c r="L9">
        <v>150</v>
      </c>
      <c r="M9">
        <v>150</v>
      </c>
    </row>
    <row r="10" spans="1:13" x14ac:dyDescent="0.3">
      <c r="A10" t="s">
        <v>79</v>
      </c>
      <c r="B10">
        <v>970</v>
      </c>
      <c r="C10">
        <v>90</v>
      </c>
      <c r="D10">
        <v>170</v>
      </c>
      <c r="E10">
        <v>90</v>
      </c>
      <c r="F10">
        <v>170</v>
      </c>
      <c r="G10">
        <v>170</v>
      </c>
      <c r="H10">
        <v>970</v>
      </c>
      <c r="I10">
        <v>170</v>
      </c>
      <c r="J10">
        <v>90</v>
      </c>
      <c r="K10">
        <v>140</v>
      </c>
      <c r="L10">
        <v>140</v>
      </c>
      <c r="M10">
        <v>170</v>
      </c>
    </row>
    <row r="11" spans="1:13" x14ac:dyDescent="0.3">
      <c r="A11" t="s">
        <v>67</v>
      </c>
      <c r="B11">
        <v>290</v>
      </c>
      <c r="C11">
        <v>290</v>
      </c>
      <c r="D11">
        <v>290</v>
      </c>
      <c r="E11">
        <v>290</v>
      </c>
      <c r="F11">
        <v>290</v>
      </c>
      <c r="G11">
        <v>290</v>
      </c>
      <c r="H11">
        <v>290</v>
      </c>
      <c r="I11">
        <v>290</v>
      </c>
      <c r="J11">
        <v>290</v>
      </c>
      <c r="K11">
        <v>290</v>
      </c>
      <c r="L11">
        <v>290</v>
      </c>
      <c r="M11">
        <v>290</v>
      </c>
    </row>
    <row r="12" spans="1:13" x14ac:dyDescent="0.3">
      <c r="A12" t="s">
        <v>86</v>
      </c>
      <c r="B12">
        <v>50</v>
      </c>
      <c r="C12">
        <v>50</v>
      </c>
      <c r="D12">
        <v>50</v>
      </c>
      <c r="E12">
        <v>50</v>
      </c>
      <c r="F12">
        <v>50</v>
      </c>
      <c r="G12">
        <v>100</v>
      </c>
      <c r="H12">
        <v>50</v>
      </c>
      <c r="I12">
        <v>50</v>
      </c>
      <c r="J12">
        <v>50</v>
      </c>
      <c r="K12">
        <v>250</v>
      </c>
      <c r="L12">
        <v>200</v>
      </c>
      <c r="M12">
        <v>50</v>
      </c>
    </row>
    <row r="13" spans="1:13" x14ac:dyDescent="0.3">
      <c r="A13" t="s">
        <v>10</v>
      </c>
      <c r="B13">
        <v>40</v>
      </c>
      <c r="C13">
        <v>40</v>
      </c>
      <c r="D13">
        <v>40</v>
      </c>
      <c r="E13">
        <v>40</v>
      </c>
      <c r="F13">
        <v>40</v>
      </c>
      <c r="G13">
        <v>40</v>
      </c>
      <c r="H13">
        <v>40</v>
      </c>
      <c r="I13">
        <v>40</v>
      </c>
      <c r="J13">
        <v>40</v>
      </c>
      <c r="K13">
        <v>40</v>
      </c>
      <c r="L13">
        <v>40</v>
      </c>
      <c r="M13">
        <v>40</v>
      </c>
    </row>
    <row r="14" spans="1:13" x14ac:dyDescent="0.3">
      <c r="A14" t="s">
        <v>100</v>
      </c>
      <c r="B14">
        <v>50</v>
      </c>
      <c r="C14">
        <v>50</v>
      </c>
      <c r="D14">
        <v>50</v>
      </c>
      <c r="E14">
        <v>50</v>
      </c>
      <c r="F14">
        <v>50</v>
      </c>
      <c r="G14">
        <v>150</v>
      </c>
      <c r="H14">
        <v>150</v>
      </c>
      <c r="I14">
        <v>50</v>
      </c>
      <c r="J14">
        <v>50</v>
      </c>
      <c r="K14">
        <v>100</v>
      </c>
      <c r="L14">
        <v>300</v>
      </c>
      <c r="M14">
        <v>200</v>
      </c>
    </row>
    <row r="15" spans="1:13" x14ac:dyDescent="0.3">
      <c r="A15" t="s">
        <v>113</v>
      </c>
      <c r="B15">
        <v>50</v>
      </c>
      <c r="C15">
        <v>50</v>
      </c>
      <c r="D15">
        <v>50</v>
      </c>
      <c r="E15">
        <v>50</v>
      </c>
      <c r="F15">
        <v>50</v>
      </c>
      <c r="G15">
        <v>50</v>
      </c>
      <c r="H15">
        <v>50</v>
      </c>
      <c r="I15">
        <v>50</v>
      </c>
      <c r="J15">
        <v>50</v>
      </c>
      <c r="K15">
        <v>50</v>
      </c>
      <c r="L15">
        <v>600</v>
      </c>
      <c r="M15">
        <v>500</v>
      </c>
    </row>
    <row r="16" spans="1:13" x14ac:dyDescent="0.3">
      <c r="A16" t="s">
        <v>31</v>
      </c>
      <c r="B16">
        <v>0</v>
      </c>
      <c r="C16">
        <v>0</v>
      </c>
      <c r="D16">
        <v>1200</v>
      </c>
      <c r="E16">
        <v>0</v>
      </c>
      <c r="F16">
        <v>0</v>
      </c>
      <c r="G16">
        <v>800</v>
      </c>
      <c r="H16">
        <v>800</v>
      </c>
      <c r="I16">
        <v>0</v>
      </c>
      <c r="J16">
        <v>0</v>
      </c>
      <c r="K16">
        <v>0</v>
      </c>
      <c r="L16">
        <v>0</v>
      </c>
      <c r="M16">
        <v>800</v>
      </c>
    </row>
    <row r="17" spans="1:13" x14ac:dyDescent="0.3">
      <c r="A17" t="s">
        <v>59</v>
      </c>
      <c r="B17">
        <v>150</v>
      </c>
      <c r="C17">
        <v>150</v>
      </c>
      <c r="D17">
        <v>150</v>
      </c>
      <c r="E17">
        <v>150</v>
      </c>
      <c r="F17">
        <v>150</v>
      </c>
      <c r="G17">
        <v>150</v>
      </c>
      <c r="H17">
        <v>150</v>
      </c>
      <c r="I17">
        <v>150</v>
      </c>
      <c r="J17">
        <v>150</v>
      </c>
      <c r="K17">
        <v>150</v>
      </c>
      <c r="L17">
        <v>150</v>
      </c>
      <c r="M17">
        <v>150</v>
      </c>
    </row>
    <row r="18" spans="1:13" x14ac:dyDescent="0.3">
      <c r="A18" t="s">
        <v>96</v>
      </c>
      <c r="B18">
        <v>300</v>
      </c>
      <c r="C18">
        <v>300</v>
      </c>
      <c r="D18">
        <v>300</v>
      </c>
      <c r="E18">
        <v>300</v>
      </c>
      <c r="F18">
        <v>300</v>
      </c>
      <c r="G18">
        <v>300</v>
      </c>
      <c r="H18">
        <v>300</v>
      </c>
      <c r="I18">
        <v>300</v>
      </c>
      <c r="J18">
        <v>300</v>
      </c>
      <c r="K18">
        <v>300</v>
      </c>
      <c r="L18">
        <v>300</v>
      </c>
      <c r="M18">
        <v>300</v>
      </c>
    </row>
    <row r="21" spans="1:13" x14ac:dyDescent="0.3">
      <c r="A21" t="s">
        <v>126</v>
      </c>
      <c r="B21" t="s">
        <v>102</v>
      </c>
      <c r="C21" t="s">
        <v>2</v>
      </c>
      <c r="D21" t="s">
        <v>72</v>
      </c>
    </row>
    <row r="22" spans="1:13" x14ac:dyDescent="0.3">
      <c r="A22" t="s">
        <v>55</v>
      </c>
      <c r="B22" t="s">
        <v>33</v>
      </c>
      <c r="C22">
        <v>6500</v>
      </c>
      <c r="D22" t="s">
        <v>45</v>
      </c>
    </row>
    <row r="23" spans="1:13" x14ac:dyDescent="0.3">
      <c r="A23" t="s">
        <v>55</v>
      </c>
      <c r="B23" t="s">
        <v>34</v>
      </c>
      <c r="C23">
        <v>6500</v>
      </c>
      <c r="D23" t="s">
        <v>45</v>
      </c>
    </row>
    <row r="24" spans="1:13" x14ac:dyDescent="0.3">
      <c r="A24" t="s">
        <v>55</v>
      </c>
      <c r="B24" t="s">
        <v>35</v>
      </c>
      <c r="C24">
        <v>9750</v>
      </c>
      <c r="D24" t="s">
        <v>45</v>
      </c>
    </row>
    <row r="25" spans="1:13" x14ac:dyDescent="0.3">
      <c r="A25" t="s">
        <v>55</v>
      </c>
      <c r="B25" t="s">
        <v>36</v>
      </c>
      <c r="C25">
        <v>6500</v>
      </c>
      <c r="D25" t="s">
        <v>45</v>
      </c>
    </row>
    <row r="26" spans="1:13" x14ac:dyDescent="0.3">
      <c r="A26" t="s">
        <v>55</v>
      </c>
      <c r="B26" t="s">
        <v>30</v>
      </c>
      <c r="C26">
        <v>6500</v>
      </c>
      <c r="D26" t="s">
        <v>45</v>
      </c>
    </row>
    <row r="27" spans="1:13" x14ac:dyDescent="0.3">
      <c r="A27" t="s">
        <v>55</v>
      </c>
      <c r="B27" t="s">
        <v>37</v>
      </c>
      <c r="C27">
        <v>6500</v>
      </c>
      <c r="D27" t="s">
        <v>45</v>
      </c>
    </row>
    <row r="28" spans="1:13" x14ac:dyDescent="0.3">
      <c r="A28" t="s">
        <v>55</v>
      </c>
      <c r="B28" t="s">
        <v>114</v>
      </c>
      <c r="C28">
        <v>6500</v>
      </c>
      <c r="D28" t="s">
        <v>45</v>
      </c>
    </row>
    <row r="29" spans="1:13" x14ac:dyDescent="0.3">
      <c r="A29" t="s">
        <v>55</v>
      </c>
      <c r="B29" t="s">
        <v>115</v>
      </c>
      <c r="C29">
        <v>6500</v>
      </c>
      <c r="D29" t="s">
        <v>45</v>
      </c>
    </row>
    <row r="30" spans="1:13" x14ac:dyDescent="0.3">
      <c r="A30" t="s">
        <v>55</v>
      </c>
      <c r="B30" t="s">
        <v>116</v>
      </c>
      <c r="C30">
        <v>9750</v>
      </c>
      <c r="D30" t="s">
        <v>45</v>
      </c>
    </row>
    <row r="31" spans="1:13" x14ac:dyDescent="0.3">
      <c r="A31" t="s">
        <v>55</v>
      </c>
      <c r="B31" t="s">
        <v>117</v>
      </c>
      <c r="C31">
        <v>6500</v>
      </c>
      <c r="D31" t="s">
        <v>45</v>
      </c>
    </row>
    <row r="32" spans="1:13" x14ac:dyDescent="0.3">
      <c r="A32" t="s">
        <v>55</v>
      </c>
      <c r="B32" t="s">
        <v>118</v>
      </c>
      <c r="C32">
        <v>6500</v>
      </c>
      <c r="D32" t="s">
        <v>45</v>
      </c>
    </row>
    <row r="33" spans="1:4" x14ac:dyDescent="0.3">
      <c r="A33" t="s">
        <v>55</v>
      </c>
      <c r="B33" t="s">
        <v>119</v>
      </c>
      <c r="C33">
        <v>6500</v>
      </c>
      <c r="D33" t="s">
        <v>45</v>
      </c>
    </row>
    <row r="34" spans="1:4" x14ac:dyDescent="0.3">
      <c r="A34" t="s">
        <v>42</v>
      </c>
      <c r="B34" t="s">
        <v>33</v>
      </c>
      <c r="C34">
        <v>160</v>
      </c>
      <c r="D34" t="s">
        <v>45</v>
      </c>
    </row>
    <row r="35" spans="1:4" x14ac:dyDescent="0.3">
      <c r="A35" t="s">
        <v>42</v>
      </c>
      <c r="B35" t="s">
        <v>34</v>
      </c>
      <c r="C35">
        <v>40</v>
      </c>
      <c r="D35" t="s">
        <v>45</v>
      </c>
    </row>
    <row r="36" spans="1:4" x14ac:dyDescent="0.3">
      <c r="A36" t="s">
        <v>42</v>
      </c>
      <c r="B36" t="s">
        <v>35</v>
      </c>
      <c r="C36">
        <v>40</v>
      </c>
      <c r="D36" t="s">
        <v>45</v>
      </c>
    </row>
    <row r="37" spans="1:4" x14ac:dyDescent="0.3">
      <c r="A37" t="s">
        <v>42</v>
      </c>
      <c r="B37" t="s">
        <v>36</v>
      </c>
      <c r="C37">
        <v>290</v>
      </c>
      <c r="D37" t="s">
        <v>45</v>
      </c>
    </row>
    <row r="38" spans="1:4" x14ac:dyDescent="0.3">
      <c r="A38" t="s">
        <v>42</v>
      </c>
      <c r="B38" t="s">
        <v>30</v>
      </c>
      <c r="C38">
        <v>40</v>
      </c>
      <c r="D38" t="s">
        <v>45</v>
      </c>
    </row>
    <row r="39" spans="1:4" x14ac:dyDescent="0.3">
      <c r="A39" t="s">
        <v>42</v>
      </c>
      <c r="B39" t="s">
        <v>37</v>
      </c>
      <c r="C39">
        <v>40</v>
      </c>
      <c r="D39" t="s">
        <v>45</v>
      </c>
    </row>
    <row r="40" spans="1:4" x14ac:dyDescent="0.3">
      <c r="A40" t="s">
        <v>42</v>
      </c>
      <c r="B40" t="s">
        <v>114</v>
      </c>
      <c r="C40">
        <v>160</v>
      </c>
      <c r="D40" t="s">
        <v>45</v>
      </c>
    </row>
    <row r="41" spans="1:4" x14ac:dyDescent="0.3">
      <c r="A41" t="s">
        <v>42</v>
      </c>
      <c r="B41" t="s">
        <v>115</v>
      </c>
      <c r="C41">
        <v>40</v>
      </c>
      <c r="D41" t="s">
        <v>45</v>
      </c>
    </row>
    <row r="42" spans="1:4" x14ac:dyDescent="0.3">
      <c r="A42" t="s">
        <v>42</v>
      </c>
      <c r="B42" t="s">
        <v>116</v>
      </c>
      <c r="C42">
        <v>40</v>
      </c>
      <c r="D42" t="s">
        <v>45</v>
      </c>
    </row>
    <row r="43" spans="1:4" x14ac:dyDescent="0.3">
      <c r="A43" t="s">
        <v>42</v>
      </c>
      <c r="B43" t="s">
        <v>117</v>
      </c>
      <c r="C43">
        <v>40</v>
      </c>
      <c r="D43" t="s">
        <v>45</v>
      </c>
    </row>
    <row r="44" spans="1:4" x14ac:dyDescent="0.3">
      <c r="A44" t="s">
        <v>42</v>
      </c>
      <c r="B44" t="s">
        <v>118</v>
      </c>
      <c r="C44">
        <v>40</v>
      </c>
      <c r="D44" t="s">
        <v>45</v>
      </c>
    </row>
    <row r="45" spans="1:4" x14ac:dyDescent="0.3">
      <c r="A45" t="s">
        <v>42</v>
      </c>
      <c r="B45" t="s">
        <v>119</v>
      </c>
      <c r="C45">
        <v>40</v>
      </c>
      <c r="D45" t="s">
        <v>45</v>
      </c>
    </row>
    <row r="46" spans="1:4" x14ac:dyDescent="0.3">
      <c r="A46" t="s">
        <v>74</v>
      </c>
      <c r="B46" t="s">
        <v>33</v>
      </c>
      <c r="C46">
        <v>4712</v>
      </c>
      <c r="D46" t="s">
        <v>49</v>
      </c>
    </row>
    <row r="47" spans="1:4" x14ac:dyDescent="0.3">
      <c r="A47" t="s">
        <v>74</v>
      </c>
      <c r="B47" t="s">
        <v>34</v>
      </c>
      <c r="C47">
        <v>2712</v>
      </c>
      <c r="D47" t="s">
        <v>49</v>
      </c>
    </row>
    <row r="48" spans="1:4" x14ac:dyDescent="0.3">
      <c r="A48" t="s">
        <v>74</v>
      </c>
      <c r="B48" t="s">
        <v>35</v>
      </c>
      <c r="C48">
        <v>2712</v>
      </c>
      <c r="D48" t="s">
        <v>49</v>
      </c>
    </row>
    <row r="49" spans="1:4" x14ac:dyDescent="0.3">
      <c r="A49" t="s">
        <v>74</v>
      </c>
      <c r="B49" t="s">
        <v>36</v>
      </c>
      <c r="C49">
        <v>2712</v>
      </c>
      <c r="D49" t="s">
        <v>49</v>
      </c>
    </row>
    <row r="50" spans="1:4" x14ac:dyDescent="0.3">
      <c r="A50" t="s">
        <v>74</v>
      </c>
      <c r="B50" t="s">
        <v>30</v>
      </c>
      <c r="C50">
        <v>2712</v>
      </c>
      <c r="D50" t="s">
        <v>49</v>
      </c>
    </row>
    <row r="51" spans="1:4" x14ac:dyDescent="0.3">
      <c r="A51" t="s">
        <v>74</v>
      </c>
      <c r="B51" t="s">
        <v>37</v>
      </c>
      <c r="C51">
        <v>2712</v>
      </c>
      <c r="D51" t="s">
        <v>49</v>
      </c>
    </row>
    <row r="52" spans="1:4" x14ac:dyDescent="0.3">
      <c r="A52" t="s">
        <v>74</v>
      </c>
      <c r="B52" t="s">
        <v>114</v>
      </c>
      <c r="C52">
        <v>2712</v>
      </c>
      <c r="D52" t="s">
        <v>49</v>
      </c>
    </row>
    <row r="53" spans="1:4" x14ac:dyDescent="0.3">
      <c r="A53" t="s">
        <v>74</v>
      </c>
      <c r="B53" t="s">
        <v>115</v>
      </c>
      <c r="C53">
        <v>2712</v>
      </c>
      <c r="D53" t="s">
        <v>49</v>
      </c>
    </row>
    <row r="54" spans="1:4" x14ac:dyDescent="0.3">
      <c r="A54" t="s">
        <v>74</v>
      </c>
      <c r="B54" t="s">
        <v>116</v>
      </c>
      <c r="C54">
        <v>2712</v>
      </c>
      <c r="D54" t="s">
        <v>49</v>
      </c>
    </row>
    <row r="55" spans="1:4" x14ac:dyDescent="0.3">
      <c r="A55" t="s">
        <v>74</v>
      </c>
      <c r="B55" t="s">
        <v>117</v>
      </c>
      <c r="C55">
        <v>2712</v>
      </c>
      <c r="D55" t="s">
        <v>49</v>
      </c>
    </row>
    <row r="56" spans="1:4" x14ac:dyDescent="0.3">
      <c r="A56" t="s">
        <v>74</v>
      </c>
      <c r="B56" t="s">
        <v>118</v>
      </c>
      <c r="C56">
        <v>2712</v>
      </c>
      <c r="D56" t="s">
        <v>49</v>
      </c>
    </row>
    <row r="57" spans="1:4" x14ac:dyDescent="0.3">
      <c r="A57" t="s">
        <v>74</v>
      </c>
      <c r="B57" t="s">
        <v>119</v>
      </c>
      <c r="C57">
        <v>2712</v>
      </c>
      <c r="D57" t="s">
        <v>49</v>
      </c>
    </row>
    <row r="58" spans="1:4" x14ac:dyDescent="0.3">
      <c r="A58" t="s">
        <v>7</v>
      </c>
      <c r="B58" t="s">
        <v>33</v>
      </c>
      <c r="C58">
        <v>300</v>
      </c>
      <c r="D58" t="s">
        <v>49</v>
      </c>
    </row>
    <row r="59" spans="1:4" x14ac:dyDescent="0.3">
      <c r="A59" t="s">
        <v>7</v>
      </c>
      <c r="B59" t="s">
        <v>34</v>
      </c>
      <c r="C59">
        <v>300</v>
      </c>
      <c r="D59" t="s">
        <v>49</v>
      </c>
    </row>
    <row r="60" spans="1:4" x14ac:dyDescent="0.3">
      <c r="A60" t="s">
        <v>7</v>
      </c>
      <c r="B60" t="s">
        <v>35</v>
      </c>
      <c r="C60">
        <v>300</v>
      </c>
      <c r="D60" t="s">
        <v>49</v>
      </c>
    </row>
    <row r="61" spans="1:4" x14ac:dyDescent="0.3">
      <c r="A61" t="s">
        <v>7</v>
      </c>
      <c r="B61" t="s">
        <v>36</v>
      </c>
      <c r="C61">
        <v>300</v>
      </c>
      <c r="D61" t="s">
        <v>49</v>
      </c>
    </row>
    <row r="62" spans="1:4" x14ac:dyDescent="0.3">
      <c r="A62" t="s">
        <v>7</v>
      </c>
      <c r="B62" t="s">
        <v>30</v>
      </c>
      <c r="C62">
        <v>300</v>
      </c>
      <c r="D62" t="s">
        <v>49</v>
      </c>
    </row>
    <row r="63" spans="1:4" x14ac:dyDescent="0.3">
      <c r="A63" t="s">
        <v>7</v>
      </c>
      <c r="B63" t="s">
        <v>37</v>
      </c>
      <c r="C63">
        <v>300</v>
      </c>
      <c r="D63" t="s">
        <v>49</v>
      </c>
    </row>
    <row r="64" spans="1:4" x14ac:dyDescent="0.3">
      <c r="A64" t="s">
        <v>7</v>
      </c>
      <c r="B64" t="s">
        <v>114</v>
      </c>
      <c r="C64">
        <v>300</v>
      </c>
      <c r="D64" t="s">
        <v>49</v>
      </c>
    </row>
    <row r="65" spans="1:4" x14ac:dyDescent="0.3">
      <c r="A65" t="s">
        <v>7</v>
      </c>
      <c r="B65" t="s">
        <v>115</v>
      </c>
      <c r="C65">
        <v>300</v>
      </c>
      <c r="D65" t="s">
        <v>49</v>
      </c>
    </row>
    <row r="66" spans="1:4" x14ac:dyDescent="0.3">
      <c r="A66" t="s">
        <v>7</v>
      </c>
      <c r="B66" t="s">
        <v>116</v>
      </c>
      <c r="C66">
        <v>300</v>
      </c>
      <c r="D66" t="s">
        <v>49</v>
      </c>
    </row>
    <row r="67" spans="1:4" x14ac:dyDescent="0.3">
      <c r="A67" t="s">
        <v>7</v>
      </c>
      <c r="B67" t="s">
        <v>117</v>
      </c>
      <c r="C67">
        <v>300</v>
      </c>
      <c r="D67" t="s">
        <v>49</v>
      </c>
    </row>
    <row r="68" spans="1:4" x14ac:dyDescent="0.3">
      <c r="A68" t="s">
        <v>7</v>
      </c>
      <c r="B68" t="s">
        <v>118</v>
      </c>
      <c r="C68">
        <v>300</v>
      </c>
      <c r="D68" t="s">
        <v>49</v>
      </c>
    </row>
    <row r="69" spans="1:4" x14ac:dyDescent="0.3">
      <c r="A69" t="s">
        <v>7</v>
      </c>
      <c r="B69" t="s">
        <v>119</v>
      </c>
      <c r="C69">
        <v>300</v>
      </c>
      <c r="D69" t="s">
        <v>49</v>
      </c>
    </row>
    <row r="70" spans="1:4" x14ac:dyDescent="0.3">
      <c r="A70" t="s">
        <v>4</v>
      </c>
      <c r="B70" t="s">
        <v>33</v>
      </c>
      <c r="C70">
        <v>600</v>
      </c>
      <c r="D70" t="s">
        <v>49</v>
      </c>
    </row>
    <row r="71" spans="1:4" x14ac:dyDescent="0.3">
      <c r="A71" t="s">
        <v>4</v>
      </c>
      <c r="B71" t="s">
        <v>34</v>
      </c>
      <c r="C71">
        <v>600</v>
      </c>
      <c r="D71" t="s">
        <v>49</v>
      </c>
    </row>
    <row r="72" spans="1:4" x14ac:dyDescent="0.3">
      <c r="A72" t="s">
        <v>4</v>
      </c>
      <c r="B72" t="s">
        <v>35</v>
      </c>
      <c r="C72">
        <v>600</v>
      </c>
      <c r="D72" t="s">
        <v>49</v>
      </c>
    </row>
    <row r="73" spans="1:4" x14ac:dyDescent="0.3">
      <c r="A73" t="s">
        <v>4</v>
      </c>
      <c r="B73" t="s">
        <v>36</v>
      </c>
      <c r="C73">
        <v>600</v>
      </c>
      <c r="D73" t="s">
        <v>49</v>
      </c>
    </row>
    <row r="74" spans="1:4" x14ac:dyDescent="0.3">
      <c r="A74" t="s">
        <v>4</v>
      </c>
      <c r="B74" t="s">
        <v>30</v>
      </c>
      <c r="C74">
        <v>600</v>
      </c>
      <c r="D74" t="s">
        <v>49</v>
      </c>
    </row>
    <row r="75" spans="1:4" x14ac:dyDescent="0.3">
      <c r="A75" t="s">
        <v>4</v>
      </c>
      <c r="B75" t="s">
        <v>37</v>
      </c>
      <c r="C75">
        <v>600</v>
      </c>
      <c r="D75" t="s">
        <v>49</v>
      </c>
    </row>
    <row r="76" spans="1:4" x14ac:dyDescent="0.3">
      <c r="A76" t="s">
        <v>4</v>
      </c>
      <c r="B76" t="s">
        <v>114</v>
      </c>
      <c r="C76">
        <v>600</v>
      </c>
      <c r="D76" t="s">
        <v>49</v>
      </c>
    </row>
    <row r="77" spans="1:4" x14ac:dyDescent="0.3">
      <c r="A77" t="s">
        <v>4</v>
      </c>
      <c r="B77" t="s">
        <v>115</v>
      </c>
      <c r="C77">
        <v>600</v>
      </c>
      <c r="D77" t="s">
        <v>49</v>
      </c>
    </row>
    <row r="78" spans="1:4" x14ac:dyDescent="0.3">
      <c r="A78" t="s">
        <v>4</v>
      </c>
      <c r="B78" t="s">
        <v>116</v>
      </c>
      <c r="C78">
        <v>600</v>
      </c>
      <c r="D78" t="s">
        <v>49</v>
      </c>
    </row>
    <row r="79" spans="1:4" x14ac:dyDescent="0.3">
      <c r="A79" t="s">
        <v>4</v>
      </c>
      <c r="B79" t="s">
        <v>117</v>
      </c>
      <c r="C79">
        <v>600</v>
      </c>
      <c r="D79" t="s">
        <v>49</v>
      </c>
    </row>
    <row r="80" spans="1:4" x14ac:dyDescent="0.3">
      <c r="A80" t="s">
        <v>4</v>
      </c>
      <c r="B80" t="s">
        <v>118</v>
      </c>
      <c r="C80">
        <v>600</v>
      </c>
      <c r="D80" t="s">
        <v>49</v>
      </c>
    </row>
    <row r="81" spans="1:4" x14ac:dyDescent="0.3">
      <c r="A81" t="s">
        <v>4</v>
      </c>
      <c r="B81" t="s">
        <v>119</v>
      </c>
      <c r="C81">
        <v>600</v>
      </c>
      <c r="D81" t="s">
        <v>49</v>
      </c>
    </row>
    <row r="82" spans="1:4" x14ac:dyDescent="0.3">
      <c r="A82" t="s">
        <v>12</v>
      </c>
      <c r="B82" t="s">
        <v>33</v>
      </c>
      <c r="C82">
        <v>150</v>
      </c>
      <c r="D82" t="s">
        <v>49</v>
      </c>
    </row>
    <row r="83" spans="1:4" x14ac:dyDescent="0.3">
      <c r="A83" t="s">
        <v>12</v>
      </c>
      <c r="B83" t="s">
        <v>34</v>
      </c>
      <c r="C83">
        <v>150</v>
      </c>
      <c r="D83" t="s">
        <v>49</v>
      </c>
    </row>
    <row r="84" spans="1:4" x14ac:dyDescent="0.3">
      <c r="A84" t="s">
        <v>12</v>
      </c>
      <c r="B84" t="s">
        <v>35</v>
      </c>
      <c r="C84">
        <v>150</v>
      </c>
      <c r="D84" t="s">
        <v>49</v>
      </c>
    </row>
    <row r="85" spans="1:4" x14ac:dyDescent="0.3">
      <c r="A85" t="s">
        <v>12</v>
      </c>
      <c r="B85" t="s">
        <v>36</v>
      </c>
      <c r="C85">
        <v>150</v>
      </c>
      <c r="D85" t="s">
        <v>49</v>
      </c>
    </row>
    <row r="86" spans="1:4" x14ac:dyDescent="0.3">
      <c r="A86" t="s">
        <v>12</v>
      </c>
      <c r="B86" t="s">
        <v>30</v>
      </c>
      <c r="C86">
        <v>150</v>
      </c>
      <c r="D86" t="s">
        <v>49</v>
      </c>
    </row>
    <row r="87" spans="1:4" x14ac:dyDescent="0.3">
      <c r="A87" t="s">
        <v>12</v>
      </c>
      <c r="B87" t="s">
        <v>37</v>
      </c>
      <c r="C87">
        <v>150</v>
      </c>
      <c r="D87" t="s">
        <v>49</v>
      </c>
    </row>
    <row r="88" spans="1:4" x14ac:dyDescent="0.3">
      <c r="A88" t="s">
        <v>12</v>
      </c>
      <c r="B88" t="s">
        <v>114</v>
      </c>
      <c r="C88">
        <v>150</v>
      </c>
      <c r="D88" t="s">
        <v>49</v>
      </c>
    </row>
    <row r="89" spans="1:4" x14ac:dyDescent="0.3">
      <c r="A89" t="s">
        <v>12</v>
      </c>
      <c r="B89" t="s">
        <v>115</v>
      </c>
      <c r="C89">
        <v>150</v>
      </c>
      <c r="D89" t="s">
        <v>49</v>
      </c>
    </row>
    <row r="90" spans="1:4" x14ac:dyDescent="0.3">
      <c r="A90" t="s">
        <v>12</v>
      </c>
      <c r="B90" t="s">
        <v>116</v>
      </c>
      <c r="C90">
        <v>150</v>
      </c>
      <c r="D90" t="s">
        <v>49</v>
      </c>
    </row>
    <row r="91" spans="1:4" x14ac:dyDescent="0.3">
      <c r="A91" t="s">
        <v>12</v>
      </c>
      <c r="B91" t="s">
        <v>117</v>
      </c>
      <c r="C91">
        <v>150</v>
      </c>
      <c r="D91" t="s">
        <v>49</v>
      </c>
    </row>
    <row r="92" spans="1:4" x14ac:dyDescent="0.3">
      <c r="A92" t="s">
        <v>12</v>
      </c>
      <c r="B92" t="s">
        <v>118</v>
      </c>
      <c r="C92">
        <v>150</v>
      </c>
      <c r="D92" t="s">
        <v>49</v>
      </c>
    </row>
    <row r="93" spans="1:4" x14ac:dyDescent="0.3">
      <c r="A93" t="s">
        <v>12</v>
      </c>
      <c r="B93" t="s">
        <v>119</v>
      </c>
      <c r="C93">
        <v>150</v>
      </c>
      <c r="D93" t="s">
        <v>49</v>
      </c>
    </row>
    <row r="94" spans="1:4" x14ac:dyDescent="0.3">
      <c r="A94" t="s">
        <v>79</v>
      </c>
      <c r="B94" t="s">
        <v>33</v>
      </c>
      <c r="C94">
        <v>970</v>
      </c>
      <c r="D94" t="s">
        <v>49</v>
      </c>
    </row>
    <row r="95" spans="1:4" x14ac:dyDescent="0.3">
      <c r="A95" t="s">
        <v>79</v>
      </c>
      <c r="B95" t="s">
        <v>34</v>
      </c>
      <c r="C95">
        <v>90</v>
      </c>
      <c r="D95" t="s">
        <v>49</v>
      </c>
    </row>
    <row r="96" spans="1:4" x14ac:dyDescent="0.3">
      <c r="A96" t="s">
        <v>79</v>
      </c>
      <c r="B96" t="s">
        <v>35</v>
      </c>
      <c r="C96">
        <v>170</v>
      </c>
      <c r="D96" t="s">
        <v>49</v>
      </c>
    </row>
    <row r="97" spans="1:4" x14ac:dyDescent="0.3">
      <c r="A97" t="s">
        <v>79</v>
      </c>
      <c r="B97" t="s">
        <v>36</v>
      </c>
      <c r="C97">
        <v>90</v>
      </c>
      <c r="D97" t="s">
        <v>49</v>
      </c>
    </row>
    <row r="98" spans="1:4" x14ac:dyDescent="0.3">
      <c r="A98" t="s">
        <v>79</v>
      </c>
      <c r="B98" t="s">
        <v>30</v>
      </c>
      <c r="C98">
        <v>170</v>
      </c>
      <c r="D98" t="s">
        <v>49</v>
      </c>
    </row>
    <row r="99" spans="1:4" x14ac:dyDescent="0.3">
      <c r="A99" t="s">
        <v>79</v>
      </c>
      <c r="B99" t="s">
        <v>37</v>
      </c>
      <c r="C99">
        <v>170</v>
      </c>
      <c r="D99" t="s">
        <v>49</v>
      </c>
    </row>
    <row r="100" spans="1:4" x14ac:dyDescent="0.3">
      <c r="A100" t="s">
        <v>79</v>
      </c>
      <c r="B100" t="s">
        <v>114</v>
      </c>
      <c r="C100">
        <v>970</v>
      </c>
      <c r="D100" t="s">
        <v>49</v>
      </c>
    </row>
    <row r="101" spans="1:4" x14ac:dyDescent="0.3">
      <c r="A101" t="s">
        <v>79</v>
      </c>
      <c r="B101" t="s">
        <v>115</v>
      </c>
      <c r="C101">
        <v>170</v>
      </c>
      <c r="D101" t="s">
        <v>49</v>
      </c>
    </row>
    <row r="102" spans="1:4" x14ac:dyDescent="0.3">
      <c r="A102" t="s">
        <v>79</v>
      </c>
      <c r="B102" t="s">
        <v>116</v>
      </c>
      <c r="C102">
        <v>90</v>
      </c>
      <c r="D102" t="s">
        <v>49</v>
      </c>
    </row>
    <row r="103" spans="1:4" x14ac:dyDescent="0.3">
      <c r="A103" t="s">
        <v>79</v>
      </c>
      <c r="B103" t="s">
        <v>117</v>
      </c>
      <c r="C103">
        <v>140</v>
      </c>
      <c r="D103" t="s">
        <v>49</v>
      </c>
    </row>
    <row r="104" spans="1:4" x14ac:dyDescent="0.3">
      <c r="A104" t="s">
        <v>79</v>
      </c>
      <c r="B104" t="s">
        <v>118</v>
      </c>
      <c r="C104">
        <v>140</v>
      </c>
      <c r="D104" t="s">
        <v>49</v>
      </c>
    </row>
    <row r="105" spans="1:4" x14ac:dyDescent="0.3">
      <c r="A105" t="s">
        <v>79</v>
      </c>
      <c r="B105" t="s">
        <v>119</v>
      </c>
      <c r="C105">
        <v>170</v>
      </c>
      <c r="D105" t="s">
        <v>49</v>
      </c>
    </row>
    <row r="106" spans="1:4" x14ac:dyDescent="0.3">
      <c r="A106" t="s">
        <v>67</v>
      </c>
      <c r="B106" t="s">
        <v>33</v>
      </c>
      <c r="C106">
        <v>290</v>
      </c>
      <c r="D106" t="s">
        <v>49</v>
      </c>
    </row>
    <row r="107" spans="1:4" x14ac:dyDescent="0.3">
      <c r="A107" t="s">
        <v>67</v>
      </c>
      <c r="B107" t="s">
        <v>34</v>
      </c>
      <c r="C107">
        <v>290</v>
      </c>
      <c r="D107" t="s">
        <v>49</v>
      </c>
    </row>
    <row r="108" spans="1:4" x14ac:dyDescent="0.3">
      <c r="A108" t="s">
        <v>67</v>
      </c>
      <c r="B108" t="s">
        <v>35</v>
      </c>
      <c r="C108">
        <v>290</v>
      </c>
      <c r="D108" t="s">
        <v>49</v>
      </c>
    </row>
    <row r="109" spans="1:4" x14ac:dyDescent="0.3">
      <c r="A109" t="s">
        <v>67</v>
      </c>
      <c r="B109" t="s">
        <v>36</v>
      </c>
      <c r="C109">
        <v>290</v>
      </c>
      <c r="D109" t="s">
        <v>49</v>
      </c>
    </row>
    <row r="110" spans="1:4" x14ac:dyDescent="0.3">
      <c r="A110" t="s">
        <v>67</v>
      </c>
      <c r="B110" t="s">
        <v>30</v>
      </c>
      <c r="C110">
        <v>290</v>
      </c>
      <c r="D110" t="s">
        <v>49</v>
      </c>
    </row>
    <row r="111" spans="1:4" x14ac:dyDescent="0.3">
      <c r="A111" t="s">
        <v>67</v>
      </c>
      <c r="B111" t="s">
        <v>37</v>
      </c>
      <c r="C111">
        <v>290</v>
      </c>
      <c r="D111" t="s">
        <v>49</v>
      </c>
    </row>
    <row r="112" spans="1:4" x14ac:dyDescent="0.3">
      <c r="A112" t="s">
        <v>67</v>
      </c>
      <c r="B112" t="s">
        <v>114</v>
      </c>
      <c r="C112">
        <v>290</v>
      </c>
      <c r="D112" t="s">
        <v>49</v>
      </c>
    </row>
    <row r="113" spans="1:4" x14ac:dyDescent="0.3">
      <c r="A113" t="s">
        <v>67</v>
      </c>
      <c r="B113" t="s">
        <v>115</v>
      </c>
      <c r="C113">
        <v>290</v>
      </c>
      <c r="D113" t="s">
        <v>49</v>
      </c>
    </row>
    <row r="114" spans="1:4" x14ac:dyDescent="0.3">
      <c r="A114" t="s">
        <v>67</v>
      </c>
      <c r="B114" t="s">
        <v>116</v>
      </c>
      <c r="C114">
        <v>290</v>
      </c>
      <c r="D114" t="s">
        <v>49</v>
      </c>
    </row>
    <row r="115" spans="1:4" x14ac:dyDescent="0.3">
      <c r="A115" t="s">
        <v>67</v>
      </c>
      <c r="B115" t="s">
        <v>117</v>
      </c>
      <c r="C115">
        <v>290</v>
      </c>
      <c r="D115" t="s">
        <v>49</v>
      </c>
    </row>
    <row r="116" spans="1:4" x14ac:dyDescent="0.3">
      <c r="A116" t="s">
        <v>67</v>
      </c>
      <c r="B116" t="s">
        <v>118</v>
      </c>
      <c r="C116">
        <v>290</v>
      </c>
      <c r="D116" t="s">
        <v>49</v>
      </c>
    </row>
    <row r="117" spans="1:4" x14ac:dyDescent="0.3">
      <c r="A117" t="s">
        <v>67</v>
      </c>
      <c r="B117" t="s">
        <v>119</v>
      </c>
      <c r="C117">
        <v>290</v>
      </c>
      <c r="D117" t="s">
        <v>49</v>
      </c>
    </row>
    <row r="118" spans="1:4" x14ac:dyDescent="0.3">
      <c r="A118" t="s">
        <v>86</v>
      </c>
      <c r="B118" t="s">
        <v>33</v>
      </c>
      <c r="C118">
        <v>50</v>
      </c>
      <c r="D118" t="s">
        <v>49</v>
      </c>
    </row>
    <row r="119" spans="1:4" x14ac:dyDescent="0.3">
      <c r="A119" t="s">
        <v>86</v>
      </c>
      <c r="B119" t="s">
        <v>34</v>
      </c>
      <c r="C119">
        <v>50</v>
      </c>
      <c r="D119" t="s">
        <v>49</v>
      </c>
    </row>
    <row r="120" spans="1:4" x14ac:dyDescent="0.3">
      <c r="A120" t="s">
        <v>86</v>
      </c>
      <c r="B120" t="s">
        <v>35</v>
      </c>
      <c r="C120">
        <v>50</v>
      </c>
      <c r="D120" t="s">
        <v>49</v>
      </c>
    </row>
    <row r="121" spans="1:4" x14ac:dyDescent="0.3">
      <c r="A121" t="s">
        <v>86</v>
      </c>
      <c r="B121" t="s">
        <v>36</v>
      </c>
      <c r="C121">
        <v>50</v>
      </c>
      <c r="D121" t="s">
        <v>49</v>
      </c>
    </row>
    <row r="122" spans="1:4" x14ac:dyDescent="0.3">
      <c r="A122" t="s">
        <v>86</v>
      </c>
      <c r="B122" t="s">
        <v>30</v>
      </c>
      <c r="C122">
        <v>50</v>
      </c>
      <c r="D122" t="s">
        <v>49</v>
      </c>
    </row>
    <row r="123" spans="1:4" x14ac:dyDescent="0.3">
      <c r="A123" t="s">
        <v>86</v>
      </c>
      <c r="B123" t="s">
        <v>37</v>
      </c>
      <c r="C123">
        <v>100</v>
      </c>
      <c r="D123" t="s">
        <v>49</v>
      </c>
    </row>
    <row r="124" spans="1:4" x14ac:dyDescent="0.3">
      <c r="A124" t="s">
        <v>86</v>
      </c>
      <c r="B124" t="s">
        <v>114</v>
      </c>
      <c r="C124">
        <v>50</v>
      </c>
      <c r="D124" t="s">
        <v>49</v>
      </c>
    </row>
    <row r="125" spans="1:4" x14ac:dyDescent="0.3">
      <c r="A125" t="s">
        <v>86</v>
      </c>
      <c r="B125" t="s">
        <v>115</v>
      </c>
      <c r="C125">
        <v>50</v>
      </c>
      <c r="D125" t="s">
        <v>49</v>
      </c>
    </row>
    <row r="126" spans="1:4" x14ac:dyDescent="0.3">
      <c r="A126" t="s">
        <v>86</v>
      </c>
      <c r="B126" t="s">
        <v>116</v>
      </c>
      <c r="C126">
        <v>50</v>
      </c>
      <c r="D126" t="s">
        <v>49</v>
      </c>
    </row>
    <row r="127" spans="1:4" x14ac:dyDescent="0.3">
      <c r="A127" t="s">
        <v>86</v>
      </c>
      <c r="B127" t="s">
        <v>117</v>
      </c>
      <c r="C127">
        <v>250</v>
      </c>
      <c r="D127" t="s">
        <v>49</v>
      </c>
    </row>
    <row r="128" spans="1:4" x14ac:dyDescent="0.3">
      <c r="A128" t="s">
        <v>86</v>
      </c>
      <c r="B128" t="s">
        <v>118</v>
      </c>
      <c r="C128">
        <v>200</v>
      </c>
      <c r="D128" t="s">
        <v>49</v>
      </c>
    </row>
    <row r="129" spans="1:4" x14ac:dyDescent="0.3">
      <c r="A129" t="s">
        <v>86</v>
      </c>
      <c r="B129" t="s">
        <v>119</v>
      </c>
      <c r="C129">
        <v>50</v>
      </c>
      <c r="D129" t="s">
        <v>49</v>
      </c>
    </row>
    <row r="130" spans="1:4" x14ac:dyDescent="0.3">
      <c r="A130" t="s">
        <v>10</v>
      </c>
      <c r="B130" t="s">
        <v>33</v>
      </c>
      <c r="C130">
        <v>40</v>
      </c>
      <c r="D130" t="s">
        <v>49</v>
      </c>
    </row>
    <row r="131" spans="1:4" x14ac:dyDescent="0.3">
      <c r="A131" t="s">
        <v>10</v>
      </c>
      <c r="B131" t="s">
        <v>34</v>
      </c>
      <c r="C131">
        <v>40</v>
      </c>
      <c r="D131" t="s">
        <v>49</v>
      </c>
    </row>
    <row r="132" spans="1:4" x14ac:dyDescent="0.3">
      <c r="A132" t="s">
        <v>10</v>
      </c>
      <c r="B132" t="s">
        <v>35</v>
      </c>
      <c r="C132">
        <v>40</v>
      </c>
      <c r="D132" t="s">
        <v>49</v>
      </c>
    </row>
    <row r="133" spans="1:4" x14ac:dyDescent="0.3">
      <c r="A133" t="s">
        <v>10</v>
      </c>
      <c r="B133" t="s">
        <v>36</v>
      </c>
      <c r="C133">
        <v>40</v>
      </c>
      <c r="D133" t="s">
        <v>49</v>
      </c>
    </row>
    <row r="134" spans="1:4" x14ac:dyDescent="0.3">
      <c r="A134" t="s">
        <v>10</v>
      </c>
      <c r="B134" t="s">
        <v>30</v>
      </c>
      <c r="C134">
        <v>40</v>
      </c>
      <c r="D134" t="s">
        <v>49</v>
      </c>
    </row>
    <row r="135" spans="1:4" x14ac:dyDescent="0.3">
      <c r="A135" t="s">
        <v>10</v>
      </c>
      <c r="B135" t="s">
        <v>37</v>
      </c>
      <c r="C135">
        <v>40</v>
      </c>
      <c r="D135" t="s">
        <v>49</v>
      </c>
    </row>
    <row r="136" spans="1:4" x14ac:dyDescent="0.3">
      <c r="A136" t="s">
        <v>10</v>
      </c>
      <c r="B136" t="s">
        <v>114</v>
      </c>
      <c r="C136">
        <v>40</v>
      </c>
      <c r="D136" t="s">
        <v>49</v>
      </c>
    </row>
    <row r="137" spans="1:4" x14ac:dyDescent="0.3">
      <c r="A137" t="s">
        <v>10</v>
      </c>
      <c r="B137" t="s">
        <v>115</v>
      </c>
      <c r="C137">
        <v>40</v>
      </c>
      <c r="D137" t="s">
        <v>49</v>
      </c>
    </row>
    <row r="138" spans="1:4" x14ac:dyDescent="0.3">
      <c r="A138" t="s">
        <v>10</v>
      </c>
      <c r="B138" t="s">
        <v>116</v>
      </c>
      <c r="C138">
        <v>40</v>
      </c>
      <c r="D138" t="s">
        <v>49</v>
      </c>
    </row>
    <row r="139" spans="1:4" x14ac:dyDescent="0.3">
      <c r="A139" t="s">
        <v>10</v>
      </c>
      <c r="B139" t="s">
        <v>117</v>
      </c>
      <c r="C139">
        <v>40</v>
      </c>
      <c r="D139" t="s">
        <v>49</v>
      </c>
    </row>
    <row r="140" spans="1:4" x14ac:dyDescent="0.3">
      <c r="A140" t="s">
        <v>10</v>
      </c>
      <c r="B140" t="s">
        <v>118</v>
      </c>
      <c r="C140">
        <v>40</v>
      </c>
      <c r="D140" t="s">
        <v>49</v>
      </c>
    </row>
    <row r="141" spans="1:4" x14ac:dyDescent="0.3">
      <c r="A141" t="s">
        <v>10</v>
      </c>
      <c r="B141" t="s">
        <v>119</v>
      </c>
      <c r="C141">
        <v>40</v>
      </c>
      <c r="D141" t="s">
        <v>49</v>
      </c>
    </row>
    <row r="142" spans="1:4" x14ac:dyDescent="0.3">
      <c r="A142" t="s">
        <v>100</v>
      </c>
      <c r="B142" t="s">
        <v>33</v>
      </c>
      <c r="C142">
        <v>50</v>
      </c>
      <c r="D142" t="s">
        <v>49</v>
      </c>
    </row>
    <row r="143" spans="1:4" x14ac:dyDescent="0.3">
      <c r="A143" t="s">
        <v>100</v>
      </c>
      <c r="B143" t="s">
        <v>34</v>
      </c>
      <c r="C143">
        <v>50</v>
      </c>
      <c r="D143" t="s">
        <v>49</v>
      </c>
    </row>
    <row r="144" spans="1:4" x14ac:dyDescent="0.3">
      <c r="A144" t="s">
        <v>100</v>
      </c>
      <c r="B144" t="s">
        <v>35</v>
      </c>
      <c r="C144">
        <v>50</v>
      </c>
      <c r="D144" t="s">
        <v>49</v>
      </c>
    </row>
    <row r="145" spans="1:4" x14ac:dyDescent="0.3">
      <c r="A145" t="s">
        <v>100</v>
      </c>
      <c r="B145" t="s">
        <v>36</v>
      </c>
      <c r="C145">
        <v>50</v>
      </c>
      <c r="D145" t="s">
        <v>49</v>
      </c>
    </row>
    <row r="146" spans="1:4" x14ac:dyDescent="0.3">
      <c r="A146" t="s">
        <v>100</v>
      </c>
      <c r="B146" t="s">
        <v>30</v>
      </c>
      <c r="C146">
        <v>50</v>
      </c>
      <c r="D146" t="s">
        <v>49</v>
      </c>
    </row>
    <row r="147" spans="1:4" x14ac:dyDescent="0.3">
      <c r="A147" t="s">
        <v>100</v>
      </c>
      <c r="B147" t="s">
        <v>37</v>
      </c>
      <c r="C147">
        <v>150</v>
      </c>
      <c r="D147" t="s">
        <v>49</v>
      </c>
    </row>
    <row r="148" spans="1:4" x14ac:dyDescent="0.3">
      <c r="A148" t="s">
        <v>100</v>
      </c>
      <c r="B148" t="s">
        <v>114</v>
      </c>
      <c r="C148">
        <v>150</v>
      </c>
      <c r="D148" t="s">
        <v>49</v>
      </c>
    </row>
    <row r="149" spans="1:4" x14ac:dyDescent="0.3">
      <c r="A149" t="s">
        <v>100</v>
      </c>
      <c r="B149" t="s">
        <v>115</v>
      </c>
      <c r="C149">
        <v>50</v>
      </c>
      <c r="D149" t="s">
        <v>49</v>
      </c>
    </row>
    <row r="150" spans="1:4" x14ac:dyDescent="0.3">
      <c r="A150" t="s">
        <v>100</v>
      </c>
      <c r="B150" t="s">
        <v>116</v>
      </c>
      <c r="C150">
        <v>50</v>
      </c>
      <c r="D150" t="s">
        <v>49</v>
      </c>
    </row>
    <row r="151" spans="1:4" x14ac:dyDescent="0.3">
      <c r="A151" t="s">
        <v>100</v>
      </c>
      <c r="B151" t="s">
        <v>117</v>
      </c>
      <c r="C151">
        <v>100</v>
      </c>
      <c r="D151" t="s">
        <v>49</v>
      </c>
    </row>
    <row r="152" spans="1:4" x14ac:dyDescent="0.3">
      <c r="A152" t="s">
        <v>100</v>
      </c>
      <c r="B152" t="s">
        <v>118</v>
      </c>
      <c r="C152">
        <v>300</v>
      </c>
      <c r="D152" t="s">
        <v>49</v>
      </c>
    </row>
    <row r="153" spans="1:4" x14ac:dyDescent="0.3">
      <c r="A153" t="s">
        <v>100</v>
      </c>
      <c r="B153" t="s">
        <v>119</v>
      </c>
      <c r="C153">
        <v>200</v>
      </c>
      <c r="D153" t="s">
        <v>49</v>
      </c>
    </row>
    <row r="154" spans="1:4" x14ac:dyDescent="0.3">
      <c r="A154" t="s">
        <v>95</v>
      </c>
      <c r="B154" t="s">
        <v>33</v>
      </c>
      <c r="C154">
        <v>50</v>
      </c>
      <c r="D154" t="s">
        <v>49</v>
      </c>
    </row>
    <row r="155" spans="1:4" x14ac:dyDescent="0.3">
      <c r="A155" t="s">
        <v>95</v>
      </c>
      <c r="B155" t="s">
        <v>34</v>
      </c>
      <c r="C155">
        <v>50</v>
      </c>
      <c r="D155" t="s">
        <v>49</v>
      </c>
    </row>
    <row r="156" spans="1:4" x14ac:dyDescent="0.3">
      <c r="A156" t="s">
        <v>95</v>
      </c>
      <c r="B156" t="s">
        <v>35</v>
      </c>
      <c r="C156">
        <v>50</v>
      </c>
      <c r="D156" t="s">
        <v>49</v>
      </c>
    </row>
    <row r="157" spans="1:4" x14ac:dyDescent="0.3">
      <c r="A157" t="s">
        <v>95</v>
      </c>
      <c r="B157" t="s">
        <v>36</v>
      </c>
      <c r="C157">
        <v>50</v>
      </c>
      <c r="D157" t="s">
        <v>49</v>
      </c>
    </row>
    <row r="158" spans="1:4" x14ac:dyDescent="0.3">
      <c r="A158" t="s">
        <v>95</v>
      </c>
      <c r="B158" t="s">
        <v>30</v>
      </c>
      <c r="C158">
        <v>50</v>
      </c>
      <c r="D158" t="s">
        <v>49</v>
      </c>
    </row>
    <row r="159" spans="1:4" x14ac:dyDescent="0.3">
      <c r="A159" t="s">
        <v>95</v>
      </c>
      <c r="B159" t="s">
        <v>37</v>
      </c>
      <c r="C159">
        <v>50</v>
      </c>
      <c r="D159" t="s">
        <v>49</v>
      </c>
    </row>
    <row r="160" spans="1:4" x14ac:dyDescent="0.3">
      <c r="A160" t="s">
        <v>95</v>
      </c>
      <c r="B160" t="s">
        <v>114</v>
      </c>
      <c r="C160">
        <v>50</v>
      </c>
      <c r="D160" t="s">
        <v>49</v>
      </c>
    </row>
    <row r="161" spans="1:4" x14ac:dyDescent="0.3">
      <c r="A161" t="s">
        <v>95</v>
      </c>
      <c r="B161" t="s">
        <v>115</v>
      </c>
      <c r="C161">
        <v>50</v>
      </c>
      <c r="D161" t="s">
        <v>49</v>
      </c>
    </row>
    <row r="162" spans="1:4" x14ac:dyDescent="0.3">
      <c r="A162" t="s">
        <v>95</v>
      </c>
      <c r="B162" t="s">
        <v>116</v>
      </c>
      <c r="C162">
        <v>50</v>
      </c>
      <c r="D162" t="s">
        <v>49</v>
      </c>
    </row>
    <row r="163" spans="1:4" x14ac:dyDescent="0.3">
      <c r="A163" t="s">
        <v>95</v>
      </c>
      <c r="B163" t="s">
        <v>117</v>
      </c>
      <c r="C163">
        <v>50</v>
      </c>
      <c r="D163" t="s">
        <v>49</v>
      </c>
    </row>
    <row r="164" spans="1:4" x14ac:dyDescent="0.3">
      <c r="A164" t="s">
        <v>95</v>
      </c>
      <c r="B164" t="s">
        <v>118</v>
      </c>
      <c r="C164">
        <v>600</v>
      </c>
      <c r="D164" t="s">
        <v>49</v>
      </c>
    </row>
    <row r="165" spans="1:4" x14ac:dyDescent="0.3">
      <c r="A165" t="s">
        <v>95</v>
      </c>
      <c r="B165" t="s">
        <v>119</v>
      </c>
      <c r="C165">
        <v>500</v>
      </c>
      <c r="D165" t="s">
        <v>49</v>
      </c>
    </row>
    <row r="166" spans="1:4" x14ac:dyDescent="0.3">
      <c r="A166" t="s">
        <v>31</v>
      </c>
      <c r="B166" t="s">
        <v>33</v>
      </c>
      <c r="C166">
        <v>0</v>
      </c>
      <c r="D166" t="s">
        <v>49</v>
      </c>
    </row>
    <row r="167" spans="1:4" x14ac:dyDescent="0.3">
      <c r="A167" t="s">
        <v>31</v>
      </c>
      <c r="B167" t="s">
        <v>34</v>
      </c>
      <c r="C167">
        <v>0</v>
      </c>
      <c r="D167" t="s">
        <v>49</v>
      </c>
    </row>
    <row r="168" spans="1:4" x14ac:dyDescent="0.3">
      <c r="A168" t="s">
        <v>31</v>
      </c>
      <c r="B168" t="s">
        <v>35</v>
      </c>
      <c r="C168">
        <v>1200</v>
      </c>
      <c r="D168" t="s">
        <v>49</v>
      </c>
    </row>
    <row r="169" spans="1:4" x14ac:dyDescent="0.3">
      <c r="A169" t="s">
        <v>31</v>
      </c>
      <c r="B169" t="s">
        <v>36</v>
      </c>
      <c r="C169">
        <v>0</v>
      </c>
      <c r="D169" t="s">
        <v>49</v>
      </c>
    </row>
    <row r="170" spans="1:4" x14ac:dyDescent="0.3">
      <c r="A170" t="s">
        <v>31</v>
      </c>
      <c r="B170" t="s">
        <v>30</v>
      </c>
      <c r="C170">
        <v>0</v>
      </c>
      <c r="D170" t="s">
        <v>49</v>
      </c>
    </row>
    <row r="171" spans="1:4" x14ac:dyDescent="0.3">
      <c r="A171" t="s">
        <v>31</v>
      </c>
      <c r="B171" t="s">
        <v>37</v>
      </c>
      <c r="C171">
        <v>800</v>
      </c>
      <c r="D171" t="s">
        <v>49</v>
      </c>
    </row>
    <row r="172" spans="1:4" x14ac:dyDescent="0.3">
      <c r="A172" t="s">
        <v>31</v>
      </c>
      <c r="B172" t="s">
        <v>114</v>
      </c>
      <c r="C172">
        <v>800</v>
      </c>
      <c r="D172" t="s">
        <v>49</v>
      </c>
    </row>
    <row r="173" spans="1:4" x14ac:dyDescent="0.3">
      <c r="A173" t="s">
        <v>31</v>
      </c>
      <c r="B173" t="s">
        <v>115</v>
      </c>
      <c r="C173">
        <v>0</v>
      </c>
      <c r="D173" t="s">
        <v>49</v>
      </c>
    </row>
    <row r="174" spans="1:4" x14ac:dyDescent="0.3">
      <c r="A174" t="s">
        <v>31</v>
      </c>
      <c r="B174" t="s">
        <v>116</v>
      </c>
      <c r="C174">
        <v>0</v>
      </c>
      <c r="D174" t="s">
        <v>49</v>
      </c>
    </row>
    <row r="175" spans="1:4" x14ac:dyDescent="0.3">
      <c r="A175" t="s">
        <v>31</v>
      </c>
      <c r="B175" t="s">
        <v>117</v>
      </c>
      <c r="C175">
        <v>0</v>
      </c>
      <c r="D175" t="s">
        <v>49</v>
      </c>
    </row>
    <row r="176" spans="1:4" x14ac:dyDescent="0.3">
      <c r="A176" t="s">
        <v>31</v>
      </c>
      <c r="B176" t="s">
        <v>118</v>
      </c>
      <c r="C176">
        <v>0</v>
      </c>
      <c r="D176" t="s">
        <v>49</v>
      </c>
    </row>
    <row r="177" spans="1:4" x14ac:dyDescent="0.3">
      <c r="A177" t="s">
        <v>31</v>
      </c>
      <c r="B177" t="s">
        <v>119</v>
      </c>
      <c r="C177">
        <v>800</v>
      </c>
      <c r="D177" t="s">
        <v>49</v>
      </c>
    </row>
    <row r="178" spans="1:4" x14ac:dyDescent="0.3">
      <c r="A178" t="s">
        <v>59</v>
      </c>
      <c r="B178" t="s">
        <v>33</v>
      </c>
      <c r="C178">
        <v>150</v>
      </c>
      <c r="D178" t="s">
        <v>49</v>
      </c>
    </row>
    <row r="179" spans="1:4" x14ac:dyDescent="0.3">
      <c r="A179" t="s">
        <v>59</v>
      </c>
      <c r="B179" t="s">
        <v>34</v>
      </c>
      <c r="C179">
        <v>150</v>
      </c>
      <c r="D179" t="s">
        <v>49</v>
      </c>
    </row>
    <row r="180" spans="1:4" x14ac:dyDescent="0.3">
      <c r="A180" t="s">
        <v>59</v>
      </c>
      <c r="B180" t="s">
        <v>35</v>
      </c>
      <c r="C180">
        <v>150</v>
      </c>
      <c r="D180" t="s">
        <v>49</v>
      </c>
    </row>
    <row r="181" spans="1:4" x14ac:dyDescent="0.3">
      <c r="A181" t="s">
        <v>59</v>
      </c>
      <c r="B181" t="s">
        <v>36</v>
      </c>
      <c r="C181">
        <v>150</v>
      </c>
      <c r="D181" t="s">
        <v>49</v>
      </c>
    </row>
    <row r="182" spans="1:4" x14ac:dyDescent="0.3">
      <c r="A182" t="s">
        <v>59</v>
      </c>
      <c r="B182" t="s">
        <v>30</v>
      </c>
      <c r="C182">
        <v>150</v>
      </c>
      <c r="D182" t="s">
        <v>49</v>
      </c>
    </row>
    <row r="183" spans="1:4" x14ac:dyDescent="0.3">
      <c r="A183" t="s">
        <v>59</v>
      </c>
      <c r="B183" t="s">
        <v>37</v>
      </c>
      <c r="C183">
        <v>150</v>
      </c>
      <c r="D183" t="s">
        <v>49</v>
      </c>
    </row>
    <row r="184" spans="1:4" x14ac:dyDescent="0.3">
      <c r="A184" t="s">
        <v>59</v>
      </c>
      <c r="B184" t="s">
        <v>114</v>
      </c>
      <c r="C184">
        <v>150</v>
      </c>
      <c r="D184" t="s">
        <v>49</v>
      </c>
    </row>
    <row r="185" spans="1:4" x14ac:dyDescent="0.3">
      <c r="A185" t="s">
        <v>59</v>
      </c>
      <c r="B185" t="s">
        <v>115</v>
      </c>
      <c r="C185">
        <v>150</v>
      </c>
      <c r="D185" t="s">
        <v>49</v>
      </c>
    </row>
    <row r="186" spans="1:4" x14ac:dyDescent="0.3">
      <c r="A186" t="s">
        <v>59</v>
      </c>
      <c r="B186" t="s">
        <v>116</v>
      </c>
      <c r="C186">
        <v>150</v>
      </c>
      <c r="D186" t="s">
        <v>49</v>
      </c>
    </row>
    <row r="187" spans="1:4" x14ac:dyDescent="0.3">
      <c r="A187" t="s">
        <v>59</v>
      </c>
      <c r="B187" t="s">
        <v>117</v>
      </c>
      <c r="C187">
        <v>150</v>
      </c>
      <c r="D187" t="s">
        <v>49</v>
      </c>
    </row>
    <row r="188" spans="1:4" x14ac:dyDescent="0.3">
      <c r="A188" t="s">
        <v>59</v>
      </c>
      <c r="B188" t="s">
        <v>118</v>
      </c>
      <c r="C188">
        <v>150</v>
      </c>
      <c r="D188" t="s">
        <v>49</v>
      </c>
    </row>
    <row r="189" spans="1:4" x14ac:dyDescent="0.3">
      <c r="A189" t="s">
        <v>59</v>
      </c>
      <c r="B189" t="s">
        <v>119</v>
      </c>
      <c r="C189">
        <v>150</v>
      </c>
      <c r="D189" t="s">
        <v>49</v>
      </c>
    </row>
    <row r="190" spans="1:4" x14ac:dyDescent="0.3">
      <c r="A190" t="s">
        <v>96</v>
      </c>
      <c r="B190" t="s">
        <v>33</v>
      </c>
      <c r="C190">
        <v>300</v>
      </c>
      <c r="D190" t="s">
        <v>49</v>
      </c>
    </row>
    <row r="191" spans="1:4" x14ac:dyDescent="0.3">
      <c r="A191" t="s">
        <v>96</v>
      </c>
      <c r="B191" t="s">
        <v>34</v>
      </c>
      <c r="C191">
        <v>300</v>
      </c>
      <c r="D191" t="s">
        <v>49</v>
      </c>
    </row>
    <row r="192" spans="1:4" x14ac:dyDescent="0.3">
      <c r="A192" t="s">
        <v>96</v>
      </c>
      <c r="B192" t="s">
        <v>35</v>
      </c>
      <c r="C192">
        <v>300</v>
      </c>
      <c r="D192" t="s">
        <v>49</v>
      </c>
    </row>
    <row r="193" spans="1:4" x14ac:dyDescent="0.3">
      <c r="A193" t="s">
        <v>96</v>
      </c>
      <c r="B193" t="s">
        <v>36</v>
      </c>
      <c r="C193">
        <v>300</v>
      </c>
      <c r="D193" t="s">
        <v>49</v>
      </c>
    </row>
    <row r="194" spans="1:4" x14ac:dyDescent="0.3">
      <c r="A194" t="s">
        <v>96</v>
      </c>
      <c r="B194" t="s">
        <v>30</v>
      </c>
      <c r="C194">
        <v>300</v>
      </c>
      <c r="D194" t="s">
        <v>49</v>
      </c>
    </row>
    <row r="195" spans="1:4" x14ac:dyDescent="0.3">
      <c r="A195" t="s">
        <v>96</v>
      </c>
      <c r="B195" t="s">
        <v>37</v>
      </c>
      <c r="C195">
        <v>300</v>
      </c>
      <c r="D195" t="s">
        <v>49</v>
      </c>
    </row>
    <row r="196" spans="1:4" x14ac:dyDescent="0.3">
      <c r="A196" t="s">
        <v>96</v>
      </c>
      <c r="B196" t="s">
        <v>114</v>
      </c>
      <c r="C196">
        <v>300</v>
      </c>
      <c r="D196" t="s">
        <v>49</v>
      </c>
    </row>
    <row r="197" spans="1:4" x14ac:dyDescent="0.3">
      <c r="A197" t="s">
        <v>96</v>
      </c>
      <c r="B197" t="s">
        <v>115</v>
      </c>
      <c r="C197">
        <v>300</v>
      </c>
      <c r="D197" t="s">
        <v>49</v>
      </c>
    </row>
    <row r="198" spans="1:4" x14ac:dyDescent="0.3">
      <c r="A198" t="s">
        <v>96</v>
      </c>
      <c r="B198" t="s">
        <v>116</v>
      </c>
      <c r="C198">
        <v>300</v>
      </c>
      <c r="D198" t="s">
        <v>49</v>
      </c>
    </row>
    <row r="199" spans="1:4" x14ac:dyDescent="0.3">
      <c r="A199" t="s">
        <v>96</v>
      </c>
      <c r="B199" t="s">
        <v>117</v>
      </c>
      <c r="C199">
        <v>300</v>
      </c>
      <c r="D199" t="s">
        <v>49</v>
      </c>
    </row>
    <row r="200" spans="1:4" x14ac:dyDescent="0.3">
      <c r="A200" t="s">
        <v>96</v>
      </c>
      <c r="B200" t="s">
        <v>118</v>
      </c>
      <c r="C200">
        <v>300</v>
      </c>
      <c r="D200" t="s">
        <v>49</v>
      </c>
    </row>
    <row r="201" spans="1:4" x14ac:dyDescent="0.3">
      <c r="A201" t="s">
        <v>96</v>
      </c>
      <c r="B201" t="s">
        <v>119</v>
      </c>
      <c r="C201">
        <v>300</v>
      </c>
      <c r="D201" t="s">
        <v>49</v>
      </c>
    </row>
  </sheetData>
  <phoneticPr fontId="7" type="noConversion"/>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815F-36FF-463C-ABAB-C032C5CCCAF9}">
  <sheetPr codeName="Sheet3"/>
  <dimension ref="A1:I329"/>
  <sheetViews>
    <sheetView workbookViewId="0">
      <selection activeCell="L266" sqref="L266"/>
    </sheetView>
  </sheetViews>
  <sheetFormatPr defaultRowHeight="14.4" x14ac:dyDescent="0.3"/>
  <cols>
    <col min="1" max="1" width="10.5546875" bestFit="1" customWidth="1"/>
    <col min="2" max="2" width="9" bestFit="1" customWidth="1"/>
    <col min="3" max="3" width="6.88671875" bestFit="1" customWidth="1"/>
    <col min="4" max="4" width="21.5546875" bestFit="1" customWidth="1"/>
    <col min="5" max="5" width="22.5546875" bestFit="1" customWidth="1"/>
    <col min="6" max="6" width="18.44140625" bestFit="1" customWidth="1"/>
    <col min="7" max="7" width="10.109375" bestFit="1" customWidth="1"/>
    <col min="8" max="8" width="17.44140625" bestFit="1" customWidth="1"/>
    <col min="9" max="9" width="15.44140625" bestFit="1" customWidth="1"/>
  </cols>
  <sheetData>
    <row r="1" spans="1:9" s="17" customFormat="1" ht="50.4" customHeight="1" x14ac:dyDescent="0.3">
      <c r="B1" s="19" t="s">
        <v>123</v>
      </c>
    </row>
    <row r="3" spans="1:9" x14ac:dyDescent="0.3">
      <c r="A3" t="s">
        <v>0</v>
      </c>
      <c r="B3" t="s">
        <v>102</v>
      </c>
      <c r="C3" t="s">
        <v>103</v>
      </c>
      <c r="D3" t="s">
        <v>1</v>
      </c>
      <c r="E3" t="s">
        <v>39</v>
      </c>
      <c r="F3" t="s">
        <v>73</v>
      </c>
      <c r="G3" t="s">
        <v>2</v>
      </c>
      <c r="H3" t="s">
        <v>72</v>
      </c>
      <c r="I3" t="s">
        <v>124</v>
      </c>
    </row>
    <row r="4" spans="1:9" x14ac:dyDescent="0.3">
      <c r="A4" s="1">
        <v>45658</v>
      </c>
      <c r="B4" t="s">
        <v>33</v>
      </c>
      <c r="C4">
        <v>2025</v>
      </c>
      <c r="D4" t="s">
        <v>42</v>
      </c>
      <c r="E4" t="s">
        <v>43</v>
      </c>
      <c r="F4" t="s">
        <v>44</v>
      </c>
      <c r="G4">
        <v>100</v>
      </c>
      <c r="H4" t="s">
        <v>45</v>
      </c>
      <c r="I4" t="s">
        <v>3</v>
      </c>
    </row>
    <row r="5" spans="1:9" x14ac:dyDescent="0.3">
      <c r="A5" s="1">
        <v>45658</v>
      </c>
      <c r="B5" t="s">
        <v>33</v>
      </c>
      <c r="C5">
        <v>2025</v>
      </c>
      <c r="D5" t="s">
        <v>42</v>
      </c>
      <c r="E5" t="s">
        <v>46</v>
      </c>
      <c r="F5" t="s">
        <v>47</v>
      </c>
      <c r="G5">
        <v>35</v>
      </c>
      <c r="H5" t="s">
        <v>45</v>
      </c>
      <c r="I5" t="s">
        <v>3</v>
      </c>
    </row>
    <row r="6" spans="1:9" hidden="1" x14ac:dyDescent="0.3">
      <c r="A6" s="1">
        <v>45658</v>
      </c>
      <c r="B6" t="s">
        <v>33</v>
      </c>
      <c r="C6">
        <v>2025</v>
      </c>
      <c r="D6" t="s">
        <v>74</v>
      </c>
      <c r="E6" t="s">
        <v>75</v>
      </c>
      <c r="F6" t="s">
        <v>48</v>
      </c>
      <c r="G6">
        <v>2712</v>
      </c>
      <c r="H6" t="s">
        <v>49</v>
      </c>
      <c r="I6" t="s">
        <v>3</v>
      </c>
    </row>
    <row r="7" spans="1:9" hidden="1" x14ac:dyDescent="0.3">
      <c r="A7" s="1">
        <v>45658</v>
      </c>
      <c r="B7" t="s">
        <v>33</v>
      </c>
      <c r="C7">
        <v>2025</v>
      </c>
      <c r="D7" t="s">
        <v>67</v>
      </c>
      <c r="E7" t="s">
        <v>82</v>
      </c>
      <c r="F7" t="s">
        <v>67</v>
      </c>
      <c r="G7">
        <v>250</v>
      </c>
      <c r="H7" t="s">
        <v>49</v>
      </c>
      <c r="I7" t="s">
        <v>9</v>
      </c>
    </row>
    <row r="8" spans="1:9" x14ac:dyDescent="0.3">
      <c r="A8" s="1">
        <v>45660</v>
      </c>
      <c r="B8" t="s">
        <v>33</v>
      </c>
      <c r="C8">
        <v>2025</v>
      </c>
      <c r="D8" t="s">
        <v>55</v>
      </c>
      <c r="E8" t="s">
        <v>41</v>
      </c>
      <c r="F8" t="s">
        <v>56</v>
      </c>
      <c r="G8">
        <v>3250</v>
      </c>
      <c r="H8" t="s">
        <v>45</v>
      </c>
      <c r="I8" t="s">
        <v>3</v>
      </c>
    </row>
    <row r="9" spans="1:9" hidden="1" x14ac:dyDescent="0.3">
      <c r="A9" s="1">
        <v>45660</v>
      </c>
      <c r="B9" t="s">
        <v>33</v>
      </c>
      <c r="C9">
        <v>2025</v>
      </c>
      <c r="D9" t="s">
        <v>4</v>
      </c>
      <c r="E9" t="s">
        <v>5</v>
      </c>
      <c r="F9" t="s">
        <v>68</v>
      </c>
      <c r="G9">
        <v>193</v>
      </c>
      <c r="H9" t="s">
        <v>49</v>
      </c>
      <c r="I9" t="s">
        <v>6</v>
      </c>
    </row>
    <row r="10" spans="1:9" hidden="1" x14ac:dyDescent="0.3">
      <c r="A10" s="1">
        <v>45661</v>
      </c>
      <c r="B10" t="s">
        <v>33</v>
      </c>
      <c r="C10">
        <v>2025</v>
      </c>
      <c r="D10" t="s">
        <v>79</v>
      </c>
      <c r="E10" t="s">
        <v>81</v>
      </c>
      <c r="F10" t="s">
        <v>97</v>
      </c>
      <c r="G10">
        <v>800</v>
      </c>
      <c r="H10" t="s">
        <v>49</v>
      </c>
      <c r="I10" t="s">
        <v>9</v>
      </c>
    </row>
    <row r="11" spans="1:9" hidden="1" x14ac:dyDescent="0.3">
      <c r="A11" s="1">
        <v>45662</v>
      </c>
      <c r="B11" t="s">
        <v>33</v>
      </c>
      <c r="C11">
        <v>2025</v>
      </c>
      <c r="D11" t="s">
        <v>67</v>
      </c>
      <c r="E11" t="s">
        <v>84</v>
      </c>
      <c r="F11" t="s">
        <v>109</v>
      </c>
      <c r="G11">
        <v>0</v>
      </c>
      <c r="H11" t="s">
        <v>49</v>
      </c>
      <c r="I11" t="s">
        <v>9</v>
      </c>
    </row>
    <row r="12" spans="1:9" hidden="1" x14ac:dyDescent="0.3">
      <c r="A12" s="1">
        <v>45662</v>
      </c>
      <c r="B12" t="s">
        <v>33</v>
      </c>
      <c r="C12">
        <v>2025</v>
      </c>
      <c r="D12" t="s">
        <v>74</v>
      </c>
      <c r="E12" t="s">
        <v>26</v>
      </c>
      <c r="F12" t="s">
        <v>13</v>
      </c>
      <c r="G12">
        <v>2000</v>
      </c>
      <c r="H12" t="s">
        <v>49</v>
      </c>
      <c r="I12" t="s">
        <v>3</v>
      </c>
    </row>
    <row r="13" spans="1:9" hidden="1" x14ac:dyDescent="0.3">
      <c r="A13" s="1">
        <v>45662</v>
      </c>
      <c r="B13" t="s">
        <v>33</v>
      </c>
      <c r="C13">
        <v>2025</v>
      </c>
      <c r="D13" t="s">
        <v>7</v>
      </c>
      <c r="E13" t="s">
        <v>77</v>
      </c>
      <c r="F13" t="s">
        <v>110</v>
      </c>
      <c r="G13">
        <v>45</v>
      </c>
      <c r="H13" t="s">
        <v>49</v>
      </c>
      <c r="I13" t="s">
        <v>9</v>
      </c>
    </row>
    <row r="14" spans="1:9" hidden="1" x14ac:dyDescent="0.3">
      <c r="A14" s="1">
        <v>45662</v>
      </c>
      <c r="B14" t="s">
        <v>33</v>
      </c>
      <c r="C14">
        <v>2025</v>
      </c>
      <c r="D14" t="s">
        <v>113</v>
      </c>
      <c r="E14" t="s">
        <v>5</v>
      </c>
      <c r="F14" t="s">
        <v>113</v>
      </c>
      <c r="G14">
        <v>55</v>
      </c>
      <c r="H14" t="s">
        <v>49</v>
      </c>
      <c r="I14" t="s">
        <v>9</v>
      </c>
    </row>
    <row r="15" spans="1:9" hidden="1" x14ac:dyDescent="0.3">
      <c r="A15" s="1">
        <v>45667</v>
      </c>
      <c r="B15" t="s">
        <v>33</v>
      </c>
      <c r="C15">
        <v>2025</v>
      </c>
      <c r="D15" t="s">
        <v>4</v>
      </c>
      <c r="E15" t="s">
        <v>19</v>
      </c>
      <c r="F15" t="s">
        <v>4</v>
      </c>
      <c r="G15">
        <v>112</v>
      </c>
      <c r="H15" t="s">
        <v>49</v>
      </c>
      <c r="I15" t="s">
        <v>6</v>
      </c>
    </row>
    <row r="16" spans="1:9" hidden="1" x14ac:dyDescent="0.3">
      <c r="A16" s="1">
        <v>45668</v>
      </c>
      <c r="B16" t="s">
        <v>33</v>
      </c>
      <c r="C16">
        <v>2025</v>
      </c>
      <c r="D16" t="s">
        <v>7</v>
      </c>
      <c r="E16" t="s">
        <v>8</v>
      </c>
      <c r="F16" t="s">
        <v>50</v>
      </c>
      <c r="G16">
        <v>120</v>
      </c>
      <c r="H16" t="s">
        <v>49</v>
      </c>
      <c r="I16" t="s">
        <v>9</v>
      </c>
    </row>
    <row r="17" spans="1:9" hidden="1" x14ac:dyDescent="0.3">
      <c r="A17" s="1">
        <v>45669</v>
      </c>
      <c r="B17" t="s">
        <v>33</v>
      </c>
      <c r="C17">
        <v>2025</v>
      </c>
      <c r="D17" t="s">
        <v>7</v>
      </c>
      <c r="E17" t="s">
        <v>17</v>
      </c>
      <c r="F17" t="s">
        <v>51</v>
      </c>
      <c r="G17">
        <v>65</v>
      </c>
      <c r="H17" t="s">
        <v>49</v>
      </c>
      <c r="I17" t="s">
        <v>9</v>
      </c>
    </row>
    <row r="18" spans="1:9" hidden="1" x14ac:dyDescent="0.3">
      <c r="A18" s="1">
        <v>45670</v>
      </c>
      <c r="B18" t="s">
        <v>33</v>
      </c>
      <c r="C18">
        <v>2025</v>
      </c>
      <c r="D18" t="s">
        <v>7</v>
      </c>
      <c r="E18" t="s">
        <v>22</v>
      </c>
      <c r="F18" t="s">
        <v>52</v>
      </c>
      <c r="G18">
        <v>100</v>
      </c>
      <c r="H18" t="s">
        <v>49</v>
      </c>
      <c r="I18" t="s">
        <v>9</v>
      </c>
    </row>
    <row r="19" spans="1:9" hidden="1" x14ac:dyDescent="0.3">
      <c r="A19" s="1">
        <v>45672</v>
      </c>
      <c r="B19" t="s">
        <v>33</v>
      </c>
      <c r="C19">
        <v>2025</v>
      </c>
      <c r="D19" t="s">
        <v>79</v>
      </c>
      <c r="E19" t="s">
        <v>76</v>
      </c>
      <c r="F19" t="s">
        <v>80</v>
      </c>
      <c r="G19">
        <v>65</v>
      </c>
      <c r="H19" t="s">
        <v>49</v>
      </c>
      <c r="I19" t="s">
        <v>9</v>
      </c>
    </row>
    <row r="20" spans="1:9" hidden="1" x14ac:dyDescent="0.3">
      <c r="A20" s="1">
        <v>45672</v>
      </c>
      <c r="B20" t="s">
        <v>33</v>
      </c>
      <c r="C20">
        <v>2025</v>
      </c>
      <c r="D20" t="s">
        <v>79</v>
      </c>
      <c r="E20" t="s">
        <v>23</v>
      </c>
      <c r="F20" t="s">
        <v>53</v>
      </c>
      <c r="G20">
        <v>95</v>
      </c>
      <c r="H20" t="s">
        <v>49</v>
      </c>
      <c r="I20" t="s">
        <v>9</v>
      </c>
    </row>
    <row r="21" spans="1:9" hidden="1" x14ac:dyDescent="0.3">
      <c r="A21" s="1">
        <v>45673</v>
      </c>
      <c r="B21" t="s">
        <v>33</v>
      </c>
      <c r="C21">
        <v>2025</v>
      </c>
      <c r="D21" t="s">
        <v>59</v>
      </c>
      <c r="E21" t="s">
        <v>40</v>
      </c>
      <c r="F21" t="s">
        <v>54</v>
      </c>
      <c r="G21">
        <v>100</v>
      </c>
      <c r="H21" t="s">
        <v>49</v>
      </c>
      <c r="I21" t="s">
        <v>3</v>
      </c>
    </row>
    <row r="22" spans="1:9" x14ac:dyDescent="0.3">
      <c r="A22" s="1">
        <v>45674</v>
      </c>
      <c r="B22" t="s">
        <v>33</v>
      </c>
      <c r="C22">
        <v>2025</v>
      </c>
      <c r="D22" t="s">
        <v>55</v>
      </c>
      <c r="E22" t="s">
        <v>41</v>
      </c>
      <c r="F22" t="s">
        <v>56</v>
      </c>
      <c r="G22">
        <v>3250</v>
      </c>
      <c r="H22" t="s">
        <v>45</v>
      </c>
      <c r="I22" t="s">
        <v>3</v>
      </c>
    </row>
    <row r="23" spans="1:9" hidden="1" x14ac:dyDescent="0.3">
      <c r="A23" s="1">
        <v>45674</v>
      </c>
      <c r="B23" t="s">
        <v>33</v>
      </c>
      <c r="C23">
        <v>2025</v>
      </c>
      <c r="D23" t="s">
        <v>4</v>
      </c>
      <c r="E23" t="s">
        <v>14</v>
      </c>
      <c r="F23" t="s">
        <v>57</v>
      </c>
      <c r="G23">
        <v>224</v>
      </c>
      <c r="H23" t="s">
        <v>49</v>
      </c>
      <c r="I23" t="s">
        <v>6</v>
      </c>
    </row>
    <row r="24" spans="1:9" hidden="1" x14ac:dyDescent="0.3">
      <c r="A24" s="1">
        <v>45674</v>
      </c>
      <c r="B24" t="s">
        <v>33</v>
      </c>
      <c r="C24">
        <v>2025</v>
      </c>
      <c r="D24" t="s">
        <v>96</v>
      </c>
      <c r="E24" t="s">
        <v>96</v>
      </c>
      <c r="F24" t="s">
        <v>127</v>
      </c>
      <c r="G24">
        <v>180</v>
      </c>
      <c r="H24" t="s">
        <v>49</v>
      </c>
      <c r="I24" t="s">
        <v>9</v>
      </c>
    </row>
    <row r="25" spans="1:9" hidden="1" x14ac:dyDescent="0.3">
      <c r="A25" s="1">
        <v>45675</v>
      </c>
      <c r="B25" t="s">
        <v>33</v>
      </c>
      <c r="C25">
        <v>2025</v>
      </c>
      <c r="D25" t="s">
        <v>12</v>
      </c>
      <c r="E25" t="s">
        <v>108</v>
      </c>
      <c r="F25" t="s">
        <v>58</v>
      </c>
      <c r="G25">
        <v>90</v>
      </c>
      <c r="H25" t="s">
        <v>49</v>
      </c>
      <c r="I25" t="s">
        <v>9</v>
      </c>
    </row>
    <row r="26" spans="1:9" hidden="1" x14ac:dyDescent="0.3">
      <c r="A26" s="1">
        <v>45676</v>
      </c>
      <c r="B26" t="s">
        <v>33</v>
      </c>
      <c r="C26">
        <v>2025</v>
      </c>
      <c r="D26" t="s">
        <v>59</v>
      </c>
      <c r="E26" t="s">
        <v>60</v>
      </c>
      <c r="F26" t="s">
        <v>61</v>
      </c>
      <c r="G26">
        <v>50</v>
      </c>
      <c r="H26" t="s">
        <v>49</v>
      </c>
      <c r="I26" t="s">
        <v>6</v>
      </c>
    </row>
    <row r="27" spans="1:9" hidden="1" x14ac:dyDescent="0.3">
      <c r="A27" s="1">
        <v>45677</v>
      </c>
      <c r="B27" t="s">
        <v>33</v>
      </c>
      <c r="C27">
        <v>2025</v>
      </c>
      <c r="D27" t="s">
        <v>10</v>
      </c>
      <c r="E27" t="s">
        <v>11</v>
      </c>
      <c r="F27" t="s">
        <v>62</v>
      </c>
      <c r="G27">
        <v>15</v>
      </c>
      <c r="H27" t="s">
        <v>49</v>
      </c>
      <c r="I27" t="s">
        <v>9</v>
      </c>
    </row>
    <row r="28" spans="1:9" hidden="1" x14ac:dyDescent="0.3">
      <c r="A28" s="1">
        <v>45678</v>
      </c>
      <c r="B28" t="s">
        <v>33</v>
      </c>
      <c r="C28">
        <v>2025</v>
      </c>
      <c r="D28" t="s">
        <v>10</v>
      </c>
      <c r="E28" t="s">
        <v>24</v>
      </c>
      <c r="F28" t="s">
        <v>62</v>
      </c>
      <c r="G28">
        <v>15</v>
      </c>
      <c r="H28" t="s">
        <v>49</v>
      </c>
      <c r="I28" t="s">
        <v>9</v>
      </c>
    </row>
    <row r="29" spans="1:9" hidden="1" x14ac:dyDescent="0.3">
      <c r="A29" s="1">
        <v>45679</v>
      </c>
      <c r="B29" t="s">
        <v>33</v>
      </c>
      <c r="C29">
        <v>2025</v>
      </c>
      <c r="D29" t="s">
        <v>10</v>
      </c>
      <c r="E29" t="s">
        <v>25</v>
      </c>
      <c r="F29" t="s">
        <v>62</v>
      </c>
      <c r="G29">
        <v>12</v>
      </c>
      <c r="H29" t="s">
        <v>49</v>
      </c>
      <c r="I29" t="s">
        <v>9</v>
      </c>
    </row>
    <row r="30" spans="1:9" hidden="1" x14ac:dyDescent="0.3">
      <c r="A30" s="1">
        <v>45681</v>
      </c>
      <c r="B30" t="s">
        <v>33</v>
      </c>
      <c r="C30">
        <v>2025</v>
      </c>
      <c r="D30" t="s">
        <v>4</v>
      </c>
      <c r="E30" t="s">
        <v>20</v>
      </c>
      <c r="F30" t="s">
        <v>64</v>
      </c>
      <c r="G30">
        <v>81</v>
      </c>
      <c r="H30" t="s">
        <v>49</v>
      </c>
      <c r="I30" t="s">
        <v>21</v>
      </c>
    </row>
    <row r="31" spans="1:9" hidden="1" x14ac:dyDescent="0.3">
      <c r="A31" s="1">
        <v>45682</v>
      </c>
      <c r="B31" t="s">
        <v>33</v>
      </c>
      <c r="C31">
        <v>2025</v>
      </c>
      <c r="D31" t="s">
        <v>86</v>
      </c>
      <c r="E31" t="s">
        <v>99</v>
      </c>
      <c r="F31" t="s">
        <v>104</v>
      </c>
      <c r="G31">
        <v>24</v>
      </c>
      <c r="H31" t="s">
        <v>49</v>
      </c>
      <c r="I31" t="s">
        <v>27</v>
      </c>
    </row>
    <row r="32" spans="1:9" hidden="1" x14ac:dyDescent="0.3">
      <c r="A32" s="1">
        <v>45683</v>
      </c>
      <c r="B32" t="s">
        <v>33</v>
      </c>
      <c r="C32">
        <v>2025</v>
      </c>
      <c r="D32" t="s">
        <v>12</v>
      </c>
      <c r="E32" t="s">
        <v>108</v>
      </c>
      <c r="F32" t="s">
        <v>66</v>
      </c>
      <c r="G32">
        <v>50</v>
      </c>
      <c r="H32" t="s">
        <v>49</v>
      </c>
      <c r="I32" t="s">
        <v>9</v>
      </c>
    </row>
    <row r="33" spans="1:9" hidden="1" x14ac:dyDescent="0.3">
      <c r="A33" s="1">
        <v>45684</v>
      </c>
      <c r="B33" t="s">
        <v>33</v>
      </c>
      <c r="C33">
        <v>2025</v>
      </c>
      <c r="D33" t="s">
        <v>67</v>
      </c>
      <c r="E33" t="s">
        <v>15</v>
      </c>
      <c r="F33" t="s">
        <v>67</v>
      </c>
      <c r="G33">
        <v>30</v>
      </c>
      <c r="H33" t="s">
        <v>49</v>
      </c>
      <c r="I33" t="s">
        <v>9</v>
      </c>
    </row>
    <row r="34" spans="1:9" x14ac:dyDescent="0.3">
      <c r="A34" s="1">
        <v>45688</v>
      </c>
      <c r="B34" t="s">
        <v>33</v>
      </c>
      <c r="C34">
        <v>2025</v>
      </c>
      <c r="D34" t="s">
        <v>55</v>
      </c>
      <c r="E34" t="s">
        <v>41</v>
      </c>
      <c r="F34" t="s">
        <v>56</v>
      </c>
      <c r="G34">
        <v>3250</v>
      </c>
      <c r="H34" t="s">
        <v>45</v>
      </c>
      <c r="I34" t="s">
        <v>3</v>
      </c>
    </row>
    <row r="35" spans="1:9" hidden="1" x14ac:dyDescent="0.3">
      <c r="A35" s="1">
        <v>45689</v>
      </c>
      <c r="B35" t="s">
        <v>34</v>
      </c>
      <c r="C35">
        <v>2025</v>
      </c>
      <c r="D35" t="s">
        <v>67</v>
      </c>
      <c r="E35" t="s">
        <v>82</v>
      </c>
      <c r="F35" t="s">
        <v>67</v>
      </c>
      <c r="G35">
        <v>250</v>
      </c>
      <c r="H35" t="s">
        <v>49</v>
      </c>
      <c r="I35" t="s">
        <v>9</v>
      </c>
    </row>
    <row r="36" spans="1:9" x14ac:dyDescent="0.3">
      <c r="A36" s="1">
        <v>45689</v>
      </c>
      <c r="B36" t="s">
        <v>34</v>
      </c>
      <c r="C36">
        <v>2025</v>
      </c>
      <c r="D36" t="s">
        <v>42</v>
      </c>
      <c r="E36" t="s">
        <v>46</v>
      </c>
      <c r="F36" t="s">
        <v>47</v>
      </c>
      <c r="G36">
        <v>45</v>
      </c>
      <c r="H36" t="s">
        <v>45</v>
      </c>
      <c r="I36" t="s">
        <v>3</v>
      </c>
    </row>
    <row r="37" spans="1:9" hidden="1" x14ac:dyDescent="0.3">
      <c r="A37" s="1">
        <v>45689</v>
      </c>
      <c r="B37" t="s">
        <v>34</v>
      </c>
      <c r="C37">
        <v>2025</v>
      </c>
      <c r="D37" t="s">
        <v>74</v>
      </c>
      <c r="E37" t="s">
        <v>75</v>
      </c>
      <c r="F37" t="s">
        <v>48</v>
      </c>
      <c r="G37">
        <v>2712</v>
      </c>
      <c r="H37" t="s">
        <v>49</v>
      </c>
      <c r="I37" t="s">
        <v>3</v>
      </c>
    </row>
    <row r="38" spans="1:9" hidden="1" x14ac:dyDescent="0.3">
      <c r="A38" s="1">
        <v>45689</v>
      </c>
      <c r="B38" t="s">
        <v>34</v>
      </c>
      <c r="C38">
        <v>2025</v>
      </c>
      <c r="D38" t="s">
        <v>79</v>
      </c>
      <c r="E38" t="s">
        <v>76</v>
      </c>
      <c r="F38" t="s">
        <v>80</v>
      </c>
      <c r="G38">
        <v>50</v>
      </c>
      <c r="H38" t="s">
        <v>49</v>
      </c>
      <c r="I38" t="s">
        <v>9</v>
      </c>
    </row>
    <row r="39" spans="1:9" hidden="1" x14ac:dyDescent="0.3">
      <c r="A39" s="1">
        <v>45691</v>
      </c>
      <c r="B39" t="s">
        <v>34</v>
      </c>
      <c r="C39">
        <v>2025</v>
      </c>
      <c r="D39" t="s">
        <v>100</v>
      </c>
      <c r="E39" t="s">
        <v>16</v>
      </c>
      <c r="F39" t="s">
        <v>63</v>
      </c>
      <c r="G39">
        <v>35</v>
      </c>
      <c r="H39" t="s">
        <v>49</v>
      </c>
      <c r="I39" t="s">
        <v>9</v>
      </c>
    </row>
    <row r="40" spans="1:9" hidden="1" x14ac:dyDescent="0.3">
      <c r="A40" s="1">
        <v>45691</v>
      </c>
      <c r="B40" t="s">
        <v>34</v>
      </c>
      <c r="C40">
        <v>2025</v>
      </c>
      <c r="D40" t="s">
        <v>4</v>
      </c>
      <c r="E40" t="s">
        <v>5</v>
      </c>
      <c r="F40" t="s">
        <v>68</v>
      </c>
      <c r="G40">
        <v>196</v>
      </c>
      <c r="H40" t="s">
        <v>49</v>
      </c>
      <c r="I40" t="s">
        <v>6</v>
      </c>
    </row>
    <row r="41" spans="1:9" hidden="1" x14ac:dyDescent="0.3">
      <c r="A41" s="1">
        <v>45691</v>
      </c>
      <c r="B41" t="s">
        <v>34</v>
      </c>
      <c r="C41">
        <v>2025</v>
      </c>
      <c r="D41" t="s">
        <v>7</v>
      </c>
      <c r="E41" t="s">
        <v>77</v>
      </c>
      <c r="F41" t="s">
        <v>110</v>
      </c>
      <c r="G41">
        <v>45</v>
      </c>
      <c r="H41" t="s">
        <v>49</v>
      </c>
      <c r="I41" t="s">
        <v>9</v>
      </c>
    </row>
    <row r="42" spans="1:9" hidden="1" x14ac:dyDescent="0.3">
      <c r="A42" s="1">
        <v>45698</v>
      </c>
      <c r="B42" t="s">
        <v>34</v>
      </c>
      <c r="C42">
        <v>2025</v>
      </c>
      <c r="D42" t="s">
        <v>4</v>
      </c>
      <c r="E42" t="s">
        <v>19</v>
      </c>
      <c r="F42" t="s">
        <v>4</v>
      </c>
      <c r="G42">
        <v>114</v>
      </c>
      <c r="H42" t="s">
        <v>49</v>
      </c>
      <c r="I42" t="s">
        <v>6</v>
      </c>
    </row>
    <row r="43" spans="1:9" hidden="1" x14ac:dyDescent="0.3">
      <c r="A43" s="1">
        <v>45699</v>
      </c>
      <c r="B43" t="s">
        <v>34</v>
      </c>
      <c r="C43">
        <v>2025</v>
      </c>
      <c r="D43" t="s">
        <v>7</v>
      </c>
      <c r="E43" t="s">
        <v>8</v>
      </c>
      <c r="F43" t="s">
        <v>50</v>
      </c>
      <c r="G43">
        <v>125</v>
      </c>
      <c r="H43" t="s">
        <v>49</v>
      </c>
      <c r="I43" t="s">
        <v>9</v>
      </c>
    </row>
    <row r="44" spans="1:9" hidden="1" x14ac:dyDescent="0.3">
      <c r="A44" s="1">
        <v>45700</v>
      </c>
      <c r="B44" t="s">
        <v>34</v>
      </c>
      <c r="C44">
        <v>2025</v>
      </c>
      <c r="D44" t="s">
        <v>7</v>
      </c>
      <c r="E44" t="s">
        <v>17</v>
      </c>
      <c r="F44" t="s">
        <v>51</v>
      </c>
      <c r="G44">
        <v>70</v>
      </c>
      <c r="H44" t="s">
        <v>49</v>
      </c>
      <c r="I44" t="s">
        <v>9</v>
      </c>
    </row>
    <row r="45" spans="1:9" hidden="1" x14ac:dyDescent="0.3">
      <c r="A45" s="1">
        <v>45701</v>
      </c>
      <c r="B45" t="s">
        <v>34</v>
      </c>
      <c r="C45">
        <v>2025</v>
      </c>
      <c r="D45" t="s">
        <v>7</v>
      </c>
      <c r="E45" t="s">
        <v>22</v>
      </c>
      <c r="F45" t="s">
        <v>52</v>
      </c>
      <c r="G45">
        <v>88</v>
      </c>
      <c r="H45" t="s">
        <v>49</v>
      </c>
      <c r="I45" t="s">
        <v>9</v>
      </c>
    </row>
    <row r="46" spans="1:9" x14ac:dyDescent="0.3">
      <c r="A46" s="1">
        <v>45702</v>
      </c>
      <c r="B46" t="s">
        <v>34</v>
      </c>
      <c r="C46">
        <v>2025</v>
      </c>
      <c r="D46" t="s">
        <v>55</v>
      </c>
      <c r="E46" t="s">
        <v>41</v>
      </c>
      <c r="F46" t="s">
        <v>56</v>
      </c>
      <c r="G46">
        <v>3250</v>
      </c>
      <c r="H46" t="s">
        <v>45</v>
      </c>
      <c r="I46" t="s">
        <v>3</v>
      </c>
    </row>
    <row r="47" spans="1:9" hidden="1" x14ac:dyDescent="0.3">
      <c r="A47" s="1">
        <v>45703</v>
      </c>
      <c r="B47" t="s">
        <v>34</v>
      </c>
      <c r="C47">
        <v>2025</v>
      </c>
      <c r="D47" t="s">
        <v>113</v>
      </c>
      <c r="E47" t="s">
        <v>14</v>
      </c>
      <c r="F47" t="s">
        <v>113</v>
      </c>
      <c r="G47">
        <v>120</v>
      </c>
      <c r="H47" t="s">
        <v>49</v>
      </c>
      <c r="I47" t="s">
        <v>9</v>
      </c>
    </row>
    <row r="48" spans="1:9" hidden="1" x14ac:dyDescent="0.3">
      <c r="A48" s="1">
        <v>45703</v>
      </c>
      <c r="B48" t="s">
        <v>34</v>
      </c>
      <c r="C48">
        <v>2025</v>
      </c>
      <c r="D48" t="s">
        <v>79</v>
      </c>
      <c r="E48" t="s">
        <v>23</v>
      </c>
      <c r="F48" t="s">
        <v>53</v>
      </c>
      <c r="G48">
        <v>45</v>
      </c>
      <c r="H48" t="s">
        <v>49</v>
      </c>
      <c r="I48" t="s">
        <v>9</v>
      </c>
    </row>
    <row r="49" spans="1:9" hidden="1" x14ac:dyDescent="0.3">
      <c r="A49" s="1">
        <v>45704</v>
      </c>
      <c r="B49" t="s">
        <v>34</v>
      </c>
      <c r="C49">
        <v>2025</v>
      </c>
      <c r="D49" t="s">
        <v>59</v>
      </c>
      <c r="E49" t="s">
        <v>40</v>
      </c>
      <c r="F49" t="s">
        <v>54</v>
      </c>
      <c r="G49">
        <v>100</v>
      </c>
      <c r="H49" t="s">
        <v>49</v>
      </c>
      <c r="I49" t="s">
        <v>3</v>
      </c>
    </row>
    <row r="50" spans="1:9" hidden="1" x14ac:dyDescent="0.3">
      <c r="A50" s="1">
        <v>45705</v>
      </c>
      <c r="B50" t="s">
        <v>34</v>
      </c>
      <c r="C50">
        <v>2025</v>
      </c>
      <c r="D50" t="s">
        <v>4</v>
      </c>
      <c r="E50" t="s">
        <v>14</v>
      </c>
      <c r="F50" t="s">
        <v>57</v>
      </c>
      <c r="G50">
        <v>228</v>
      </c>
      <c r="H50" t="s">
        <v>49</v>
      </c>
      <c r="I50" t="s">
        <v>6</v>
      </c>
    </row>
    <row r="51" spans="1:9" hidden="1" x14ac:dyDescent="0.3">
      <c r="A51" s="1">
        <v>45706</v>
      </c>
      <c r="B51" t="s">
        <v>34</v>
      </c>
      <c r="C51">
        <v>2025</v>
      </c>
      <c r="D51" t="s">
        <v>12</v>
      </c>
      <c r="E51" t="s">
        <v>108</v>
      </c>
      <c r="F51" t="s">
        <v>58</v>
      </c>
      <c r="G51">
        <v>95</v>
      </c>
      <c r="H51" t="s">
        <v>49</v>
      </c>
      <c r="I51" t="s">
        <v>9</v>
      </c>
    </row>
    <row r="52" spans="1:9" hidden="1" x14ac:dyDescent="0.3">
      <c r="A52" s="1">
        <v>45707</v>
      </c>
      <c r="B52" t="s">
        <v>34</v>
      </c>
      <c r="C52">
        <v>2025</v>
      </c>
      <c r="D52" t="s">
        <v>59</v>
      </c>
      <c r="E52" t="s">
        <v>60</v>
      </c>
      <c r="F52" t="s">
        <v>61</v>
      </c>
      <c r="G52">
        <v>50</v>
      </c>
      <c r="H52" t="s">
        <v>49</v>
      </c>
      <c r="I52" t="s">
        <v>6</v>
      </c>
    </row>
    <row r="53" spans="1:9" hidden="1" x14ac:dyDescent="0.3">
      <c r="A53" s="1">
        <v>45708</v>
      </c>
      <c r="B53" t="s">
        <v>34</v>
      </c>
      <c r="C53">
        <v>2025</v>
      </c>
      <c r="D53" t="s">
        <v>10</v>
      </c>
      <c r="E53" t="s">
        <v>11</v>
      </c>
      <c r="F53" t="s">
        <v>62</v>
      </c>
      <c r="G53">
        <v>15</v>
      </c>
      <c r="H53" t="s">
        <v>49</v>
      </c>
      <c r="I53" t="s">
        <v>9</v>
      </c>
    </row>
    <row r="54" spans="1:9" hidden="1" x14ac:dyDescent="0.3">
      <c r="A54" s="1">
        <v>45709</v>
      </c>
      <c r="B54" t="s">
        <v>34</v>
      </c>
      <c r="C54">
        <v>2025</v>
      </c>
      <c r="D54" t="s">
        <v>10</v>
      </c>
      <c r="E54" t="s">
        <v>24</v>
      </c>
      <c r="F54" t="s">
        <v>62</v>
      </c>
      <c r="G54">
        <v>15</v>
      </c>
      <c r="H54" t="s">
        <v>49</v>
      </c>
      <c r="I54" t="s">
        <v>9</v>
      </c>
    </row>
    <row r="55" spans="1:9" hidden="1" x14ac:dyDescent="0.3">
      <c r="A55" s="1">
        <v>45710</v>
      </c>
      <c r="B55" t="s">
        <v>34</v>
      </c>
      <c r="C55">
        <v>2025</v>
      </c>
      <c r="D55" t="s">
        <v>10</v>
      </c>
      <c r="E55" t="s">
        <v>25</v>
      </c>
      <c r="F55" t="s">
        <v>62</v>
      </c>
      <c r="G55">
        <v>12</v>
      </c>
      <c r="H55" t="s">
        <v>49</v>
      </c>
      <c r="I55" t="s">
        <v>9</v>
      </c>
    </row>
    <row r="56" spans="1:9" hidden="1" x14ac:dyDescent="0.3">
      <c r="A56" s="1">
        <v>45712</v>
      </c>
      <c r="B56" t="s">
        <v>34</v>
      </c>
      <c r="C56">
        <v>2025</v>
      </c>
      <c r="D56" t="s">
        <v>4</v>
      </c>
      <c r="E56" t="s">
        <v>20</v>
      </c>
      <c r="F56" t="s">
        <v>64</v>
      </c>
      <c r="G56">
        <v>82</v>
      </c>
      <c r="H56" t="s">
        <v>49</v>
      </c>
      <c r="I56" t="s">
        <v>21</v>
      </c>
    </row>
    <row r="57" spans="1:9" hidden="1" x14ac:dyDescent="0.3">
      <c r="A57" s="1">
        <v>45713</v>
      </c>
      <c r="B57" t="s">
        <v>34</v>
      </c>
      <c r="C57">
        <v>2025</v>
      </c>
      <c r="D57" t="s">
        <v>86</v>
      </c>
      <c r="E57" t="s">
        <v>28</v>
      </c>
      <c r="F57" t="s">
        <v>65</v>
      </c>
      <c r="G57">
        <v>65</v>
      </c>
      <c r="H57" t="s">
        <v>49</v>
      </c>
      <c r="I57" t="s">
        <v>27</v>
      </c>
    </row>
    <row r="58" spans="1:9" hidden="1" x14ac:dyDescent="0.3">
      <c r="A58" s="1">
        <v>45714</v>
      </c>
      <c r="B58" t="s">
        <v>34</v>
      </c>
      <c r="C58">
        <v>2025</v>
      </c>
      <c r="D58" t="s">
        <v>12</v>
      </c>
      <c r="E58" t="s">
        <v>108</v>
      </c>
      <c r="F58" t="s">
        <v>66</v>
      </c>
      <c r="G58">
        <v>55</v>
      </c>
      <c r="H58" t="s">
        <v>49</v>
      </c>
      <c r="I58" t="s">
        <v>9</v>
      </c>
    </row>
    <row r="59" spans="1:9" hidden="1" x14ac:dyDescent="0.3">
      <c r="A59" s="1">
        <v>45715</v>
      </c>
      <c r="B59" t="s">
        <v>34</v>
      </c>
      <c r="C59">
        <v>2025</v>
      </c>
      <c r="D59" t="s">
        <v>67</v>
      </c>
      <c r="E59" t="s">
        <v>15</v>
      </c>
      <c r="F59" t="s">
        <v>67</v>
      </c>
      <c r="G59">
        <v>40</v>
      </c>
      <c r="H59" t="s">
        <v>49</v>
      </c>
      <c r="I59" t="s">
        <v>9</v>
      </c>
    </row>
    <row r="60" spans="1:9" x14ac:dyDescent="0.3">
      <c r="A60" s="1">
        <v>45716</v>
      </c>
      <c r="B60" t="s">
        <v>34</v>
      </c>
      <c r="C60">
        <v>2025</v>
      </c>
      <c r="D60" t="s">
        <v>55</v>
      </c>
      <c r="E60" t="s">
        <v>41</v>
      </c>
      <c r="F60" t="s">
        <v>56</v>
      </c>
      <c r="G60">
        <v>3250</v>
      </c>
      <c r="H60" t="s">
        <v>45</v>
      </c>
      <c r="I60" t="s">
        <v>3</v>
      </c>
    </row>
    <row r="61" spans="1:9" hidden="1" x14ac:dyDescent="0.3">
      <c r="A61" s="1">
        <v>45717</v>
      </c>
      <c r="B61" t="s">
        <v>35</v>
      </c>
      <c r="C61">
        <v>2025</v>
      </c>
      <c r="D61" t="s">
        <v>67</v>
      </c>
      <c r="E61" t="s">
        <v>82</v>
      </c>
      <c r="F61" t="s">
        <v>67</v>
      </c>
      <c r="G61">
        <v>250</v>
      </c>
      <c r="H61" t="s">
        <v>49</v>
      </c>
      <c r="I61" t="s">
        <v>9</v>
      </c>
    </row>
    <row r="62" spans="1:9" x14ac:dyDescent="0.3">
      <c r="A62" s="1">
        <v>45717</v>
      </c>
      <c r="B62" t="s">
        <v>35</v>
      </c>
      <c r="C62">
        <v>2025</v>
      </c>
      <c r="D62" t="s">
        <v>42</v>
      </c>
      <c r="E62" t="s">
        <v>46</v>
      </c>
      <c r="F62" t="s">
        <v>47</v>
      </c>
      <c r="G62">
        <v>40</v>
      </c>
      <c r="H62" t="s">
        <v>45</v>
      </c>
      <c r="I62" t="s">
        <v>3</v>
      </c>
    </row>
    <row r="63" spans="1:9" hidden="1" x14ac:dyDescent="0.3">
      <c r="A63" s="1">
        <v>45717</v>
      </c>
      <c r="B63" t="s">
        <v>35</v>
      </c>
      <c r="C63">
        <v>2025</v>
      </c>
      <c r="D63" t="s">
        <v>74</v>
      </c>
      <c r="E63" t="s">
        <v>75</v>
      </c>
      <c r="F63" t="s">
        <v>48</v>
      </c>
      <c r="G63">
        <v>2712</v>
      </c>
      <c r="H63" t="s">
        <v>49</v>
      </c>
      <c r="I63" t="s">
        <v>3</v>
      </c>
    </row>
    <row r="64" spans="1:9" hidden="1" x14ac:dyDescent="0.3">
      <c r="A64" s="1">
        <v>45719</v>
      </c>
      <c r="B64" t="s">
        <v>35</v>
      </c>
      <c r="C64">
        <v>2025</v>
      </c>
      <c r="D64" t="s">
        <v>4</v>
      </c>
      <c r="E64" t="s">
        <v>5</v>
      </c>
      <c r="F64" t="s">
        <v>68</v>
      </c>
      <c r="G64">
        <v>199</v>
      </c>
      <c r="H64" t="s">
        <v>49</v>
      </c>
      <c r="I64" t="s">
        <v>6</v>
      </c>
    </row>
    <row r="65" spans="1:9" hidden="1" x14ac:dyDescent="0.3">
      <c r="A65" s="1">
        <v>45719</v>
      </c>
      <c r="B65" t="s">
        <v>35</v>
      </c>
      <c r="C65">
        <v>2025</v>
      </c>
      <c r="D65" t="s">
        <v>7</v>
      </c>
      <c r="E65" t="s">
        <v>77</v>
      </c>
      <c r="F65" t="s">
        <v>110</v>
      </c>
      <c r="G65">
        <v>45</v>
      </c>
      <c r="H65" t="s">
        <v>49</v>
      </c>
      <c r="I65" t="s">
        <v>9</v>
      </c>
    </row>
    <row r="66" spans="1:9" hidden="1" x14ac:dyDescent="0.3">
      <c r="A66" s="1">
        <v>45721</v>
      </c>
      <c r="B66" t="s">
        <v>35</v>
      </c>
      <c r="C66">
        <v>2025</v>
      </c>
      <c r="D66" t="s">
        <v>67</v>
      </c>
      <c r="E66" t="s">
        <v>85</v>
      </c>
      <c r="F66" t="s">
        <v>105</v>
      </c>
      <c r="G66">
        <v>40</v>
      </c>
      <c r="H66" t="s">
        <v>49</v>
      </c>
      <c r="I66" t="s">
        <v>9</v>
      </c>
    </row>
    <row r="67" spans="1:9" hidden="1" x14ac:dyDescent="0.3">
      <c r="A67" s="1">
        <v>45726</v>
      </c>
      <c r="B67" t="s">
        <v>35</v>
      </c>
      <c r="C67">
        <v>2025</v>
      </c>
      <c r="D67" t="s">
        <v>4</v>
      </c>
      <c r="E67" t="s">
        <v>19</v>
      </c>
      <c r="F67" t="s">
        <v>4</v>
      </c>
      <c r="G67">
        <v>116</v>
      </c>
      <c r="H67" t="s">
        <v>49</v>
      </c>
      <c r="I67" t="s">
        <v>6</v>
      </c>
    </row>
    <row r="68" spans="1:9" hidden="1" x14ac:dyDescent="0.3">
      <c r="A68" s="1">
        <v>45727</v>
      </c>
      <c r="B68" t="s">
        <v>35</v>
      </c>
      <c r="C68">
        <v>2025</v>
      </c>
      <c r="D68" t="s">
        <v>7</v>
      </c>
      <c r="E68" t="s">
        <v>8</v>
      </c>
      <c r="F68" t="s">
        <v>50</v>
      </c>
      <c r="G68">
        <v>120</v>
      </c>
      <c r="H68" t="s">
        <v>49</v>
      </c>
      <c r="I68" t="s">
        <v>9</v>
      </c>
    </row>
    <row r="69" spans="1:9" hidden="1" x14ac:dyDescent="0.3">
      <c r="A69" s="1">
        <v>45728</v>
      </c>
      <c r="B69" t="s">
        <v>35</v>
      </c>
      <c r="C69">
        <v>2025</v>
      </c>
      <c r="D69" t="s">
        <v>7</v>
      </c>
      <c r="E69" t="s">
        <v>17</v>
      </c>
      <c r="F69" t="s">
        <v>51</v>
      </c>
      <c r="G69">
        <v>62</v>
      </c>
      <c r="H69" t="s">
        <v>49</v>
      </c>
      <c r="I69" t="s">
        <v>9</v>
      </c>
    </row>
    <row r="70" spans="1:9" hidden="1" x14ac:dyDescent="0.3">
      <c r="A70" s="1">
        <v>45729</v>
      </c>
      <c r="B70" t="s">
        <v>35</v>
      </c>
      <c r="C70">
        <v>2025</v>
      </c>
      <c r="D70" t="s">
        <v>7</v>
      </c>
      <c r="E70" t="s">
        <v>22</v>
      </c>
      <c r="F70" t="s">
        <v>52</v>
      </c>
      <c r="G70">
        <v>70</v>
      </c>
      <c r="H70" t="s">
        <v>49</v>
      </c>
      <c r="I70" t="s">
        <v>9</v>
      </c>
    </row>
    <row r="71" spans="1:9" x14ac:dyDescent="0.3">
      <c r="A71" s="1">
        <v>45730</v>
      </c>
      <c r="B71" t="s">
        <v>35</v>
      </c>
      <c r="C71">
        <v>2025</v>
      </c>
      <c r="D71" t="s">
        <v>55</v>
      </c>
      <c r="E71" t="s">
        <v>41</v>
      </c>
      <c r="F71" t="s">
        <v>56</v>
      </c>
      <c r="G71">
        <v>3250</v>
      </c>
      <c r="H71" t="s">
        <v>45</v>
      </c>
      <c r="I71" t="s">
        <v>3</v>
      </c>
    </row>
    <row r="72" spans="1:9" hidden="1" x14ac:dyDescent="0.3">
      <c r="A72" s="1">
        <v>45731</v>
      </c>
      <c r="B72" t="s">
        <v>35</v>
      </c>
      <c r="C72">
        <v>2025</v>
      </c>
      <c r="D72" t="s">
        <v>79</v>
      </c>
      <c r="E72" t="s">
        <v>23</v>
      </c>
      <c r="F72" t="s">
        <v>53</v>
      </c>
      <c r="G72">
        <v>84</v>
      </c>
      <c r="H72" t="s">
        <v>49</v>
      </c>
      <c r="I72" t="s">
        <v>9</v>
      </c>
    </row>
    <row r="73" spans="1:9" hidden="1" x14ac:dyDescent="0.3">
      <c r="A73" s="1">
        <v>45732</v>
      </c>
      <c r="B73" t="s">
        <v>35</v>
      </c>
      <c r="C73">
        <v>2025</v>
      </c>
      <c r="D73" t="s">
        <v>59</v>
      </c>
      <c r="E73" t="s">
        <v>40</v>
      </c>
      <c r="F73" t="s">
        <v>54</v>
      </c>
      <c r="G73">
        <v>100</v>
      </c>
      <c r="H73" t="s">
        <v>49</v>
      </c>
      <c r="I73" t="s">
        <v>3</v>
      </c>
    </row>
    <row r="74" spans="1:9" hidden="1" x14ac:dyDescent="0.3">
      <c r="A74" s="1">
        <v>45733</v>
      </c>
      <c r="B74" t="s">
        <v>35</v>
      </c>
      <c r="C74">
        <v>2025</v>
      </c>
      <c r="D74" t="s">
        <v>4</v>
      </c>
      <c r="E74" t="s">
        <v>14</v>
      </c>
      <c r="F74" t="s">
        <v>57</v>
      </c>
      <c r="G74">
        <v>232</v>
      </c>
      <c r="H74" t="s">
        <v>49</v>
      </c>
      <c r="I74" t="s">
        <v>6</v>
      </c>
    </row>
    <row r="75" spans="1:9" hidden="1" x14ac:dyDescent="0.3">
      <c r="A75" s="1">
        <v>45734</v>
      </c>
      <c r="B75" t="s">
        <v>35</v>
      </c>
      <c r="C75">
        <v>2025</v>
      </c>
      <c r="D75" t="s">
        <v>12</v>
      </c>
      <c r="E75" t="s">
        <v>108</v>
      </c>
      <c r="F75" t="s">
        <v>58</v>
      </c>
      <c r="G75">
        <v>100</v>
      </c>
      <c r="H75" t="s">
        <v>49</v>
      </c>
      <c r="I75" t="s">
        <v>122</v>
      </c>
    </row>
    <row r="76" spans="1:9" hidden="1" x14ac:dyDescent="0.3">
      <c r="A76" s="1">
        <v>45734</v>
      </c>
      <c r="B76" t="s">
        <v>35</v>
      </c>
      <c r="C76">
        <v>2025</v>
      </c>
      <c r="D76" t="s">
        <v>31</v>
      </c>
      <c r="E76" t="s">
        <v>32</v>
      </c>
      <c r="F76" t="s">
        <v>69</v>
      </c>
      <c r="G76">
        <v>1150</v>
      </c>
      <c r="H76" t="s">
        <v>49</v>
      </c>
      <c r="I76" t="s">
        <v>9</v>
      </c>
    </row>
    <row r="77" spans="1:9" hidden="1" x14ac:dyDescent="0.3">
      <c r="A77" s="1">
        <v>45735</v>
      </c>
      <c r="B77" t="s">
        <v>35</v>
      </c>
      <c r="C77">
        <v>2025</v>
      </c>
      <c r="D77" t="s">
        <v>59</v>
      </c>
      <c r="E77" t="s">
        <v>60</v>
      </c>
      <c r="F77" t="s">
        <v>61</v>
      </c>
      <c r="G77">
        <v>50</v>
      </c>
      <c r="H77" t="s">
        <v>49</v>
      </c>
      <c r="I77" t="s">
        <v>6</v>
      </c>
    </row>
    <row r="78" spans="1:9" hidden="1" x14ac:dyDescent="0.3">
      <c r="A78" s="1">
        <v>45736</v>
      </c>
      <c r="B78" t="s">
        <v>35</v>
      </c>
      <c r="C78">
        <v>2025</v>
      </c>
      <c r="D78" t="s">
        <v>10</v>
      </c>
      <c r="E78" t="s">
        <v>11</v>
      </c>
      <c r="F78" t="s">
        <v>62</v>
      </c>
      <c r="G78">
        <v>15</v>
      </c>
      <c r="H78" t="s">
        <v>49</v>
      </c>
      <c r="I78" t="s">
        <v>9</v>
      </c>
    </row>
    <row r="79" spans="1:9" hidden="1" x14ac:dyDescent="0.3">
      <c r="A79" s="1">
        <v>45737</v>
      </c>
      <c r="B79" t="s">
        <v>35</v>
      </c>
      <c r="C79">
        <v>2025</v>
      </c>
      <c r="D79" t="s">
        <v>79</v>
      </c>
      <c r="E79" t="s">
        <v>76</v>
      </c>
      <c r="F79" t="s">
        <v>80</v>
      </c>
      <c r="G79">
        <v>76</v>
      </c>
      <c r="H79" t="s">
        <v>49</v>
      </c>
      <c r="I79" t="s">
        <v>9</v>
      </c>
    </row>
    <row r="80" spans="1:9" hidden="1" x14ac:dyDescent="0.3">
      <c r="A80" s="1">
        <v>45737</v>
      </c>
      <c r="B80" t="s">
        <v>35</v>
      </c>
      <c r="C80">
        <v>2025</v>
      </c>
      <c r="D80" t="s">
        <v>10</v>
      </c>
      <c r="E80" t="s">
        <v>24</v>
      </c>
      <c r="F80" t="s">
        <v>62</v>
      </c>
      <c r="G80">
        <v>15</v>
      </c>
      <c r="H80" t="s">
        <v>49</v>
      </c>
      <c r="I80" t="s">
        <v>9</v>
      </c>
    </row>
    <row r="81" spans="1:9" hidden="1" x14ac:dyDescent="0.3">
      <c r="A81" s="1">
        <v>45740</v>
      </c>
      <c r="B81" t="s">
        <v>35</v>
      </c>
      <c r="C81">
        <v>2025</v>
      </c>
      <c r="D81" t="s">
        <v>4</v>
      </c>
      <c r="E81" t="s">
        <v>20</v>
      </c>
      <c r="F81" t="s">
        <v>64</v>
      </c>
      <c r="G81">
        <v>83</v>
      </c>
      <c r="H81" t="s">
        <v>49</v>
      </c>
      <c r="I81" t="s">
        <v>21</v>
      </c>
    </row>
    <row r="82" spans="1:9" hidden="1" x14ac:dyDescent="0.3">
      <c r="A82" s="1">
        <v>45741</v>
      </c>
      <c r="B82" t="s">
        <v>35</v>
      </c>
      <c r="C82">
        <v>2025</v>
      </c>
      <c r="D82" t="s">
        <v>100</v>
      </c>
      <c r="E82" t="s">
        <v>101</v>
      </c>
      <c r="F82" t="s">
        <v>63</v>
      </c>
      <c r="G82">
        <v>58</v>
      </c>
      <c r="H82" t="s">
        <v>49</v>
      </c>
      <c r="I82" t="s">
        <v>122</v>
      </c>
    </row>
    <row r="83" spans="1:9" hidden="1" x14ac:dyDescent="0.3">
      <c r="A83" s="1">
        <v>45742</v>
      </c>
      <c r="B83" t="s">
        <v>35</v>
      </c>
      <c r="C83">
        <v>2025</v>
      </c>
      <c r="D83" t="s">
        <v>12</v>
      </c>
      <c r="E83" t="s">
        <v>108</v>
      </c>
      <c r="F83" t="s">
        <v>66</v>
      </c>
      <c r="G83">
        <v>60</v>
      </c>
      <c r="H83" t="s">
        <v>49</v>
      </c>
      <c r="I83" t="s">
        <v>9</v>
      </c>
    </row>
    <row r="84" spans="1:9" hidden="1" x14ac:dyDescent="0.3">
      <c r="A84" s="1">
        <v>45743</v>
      </c>
      <c r="B84" t="s">
        <v>35</v>
      </c>
      <c r="C84">
        <v>2025</v>
      </c>
      <c r="D84" t="s">
        <v>67</v>
      </c>
      <c r="E84" t="s">
        <v>15</v>
      </c>
      <c r="F84" t="s">
        <v>67</v>
      </c>
      <c r="G84">
        <v>110</v>
      </c>
      <c r="H84" t="s">
        <v>49</v>
      </c>
      <c r="I84" t="s">
        <v>9</v>
      </c>
    </row>
    <row r="85" spans="1:9" x14ac:dyDescent="0.3">
      <c r="A85" s="1">
        <v>45744</v>
      </c>
      <c r="B85" t="s">
        <v>35</v>
      </c>
      <c r="C85">
        <v>2025</v>
      </c>
      <c r="D85" t="s">
        <v>55</v>
      </c>
      <c r="E85" t="s">
        <v>41</v>
      </c>
      <c r="F85" t="s">
        <v>56</v>
      </c>
      <c r="G85">
        <v>3250</v>
      </c>
      <c r="H85" t="s">
        <v>45</v>
      </c>
      <c r="I85" t="s">
        <v>3</v>
      </c>
    </row>
    <row r="86" spans="1:9" hidden="1" x14ac:dyDescent="0.3">
      <c r="A86" s="1">
        <v>45748</v>
      </c>
      <c r="B86" t="s">
        <v>36</v>
      </c>
      <c r="C86">
        <v>2025</v>
      </c>
      <c r="D86" t="s">
        <v>67</v>
      </c>
      <c r="E86" t="s">
        <v>82</v>
      </c>
      <c r="F86" t="s">
        <v>67</v>
      </c>
      <c r="G86">
        <v>250</v>
      </c>
      <c r="H86" t="s">
        <v>49</v>
      </c>
      <c r="I86" t="s">
        <v>9</v>
      </c>
    </row>
    <row r="87" spans="1:9" x14ac:dyDescent="0.3">
      <c r="A87" s="1">
        <v>45748</v>
      </c>
      <c r="B87" t="s">
        <v>36</v>
      </c>
      <c r="C87">
        <v>2025</v>
      </c>
      <c r="D87" t="s">
        <v>42</v>
      </c>
      <c r="E87" t="s">
        <v>46</v>
      </c>
      <c r="F87" t="s">
        <v>47</v>
      </c>
      <c r="G87">
        <v>40</v>
      </c>
      <c r="H87" t="s">
        <v>45</v>
      </c>
      <c r="I87" t="s">
        <v>3</v>
      </c>
    </row>
    <row r="88" spans="1:9" hidden="1" x14ac:dyDescent="0.3">
      <c r="A88" s="1">
        <v>45748</v>
      </c>
      <c r="B88" t="s">
        <v>36</v>
      </c>
      <c r="C88">
        <v>2025</v>
      </c>
      <c r="D88" t="s">
        <v>74</v>
      </c>
      <c r="E88" t="s">
        <v>75</v>
      </c>
      <c r="F88" t="s">
        <v>48</v>
      </c>
      <c r="G88">
        <v>2712</v>
      </c>
      <c r="H88" t="s">
        <v>49</v>
      </c>
      <c r="I88" t="s">
        <v>3</v>
      </c>
    </row>
    <row r="89" spans="1:9" hidden="1" x14ac:dyDescent="0.3">
      <c r="A89" s="1">
        <v>45750</v>
      </c>
      <c r="B89" t="s">
        <v>36</v>
      </c>
      <c r="C89">
        <v>2025</v>
      </c>
      <c r="D89" t="s">
        <v>4</v>
      </c>
      <c r="E89" t="s">
        <v>5</v>
      </c>
      <c r="F89" t="s">
        <v>68</v>
      </c>
      <c r="G89">
        <v>202</v>
      </c>
      <c r="H89" t="s">
        <v>49</v>
      </c>
      <c r="I89" t="s">
        <v>6</v>
      </c>
    </row>
    <row r="90" spans="1:9" hidden="1" x14ac:dyDescent="0.3">
      <c r="A90" s="1">
        <v>45752</v>
      </c>
      <c r="B90" t="s">
        <v>36</v>
      </c>
      <c r="C90">
        <v>2025</v>
      </c>
      <c r="D90" t="s">
        <v>7</v>
      </c>
      <c r="E90" t="s">
        <v>77</v>
      </c>
      <c r="F90" t="s">
        <v>110</v>
      </c>
      <c r="G90">
        <v>45</v>
      </c>
      <c r="H90" t="s">
        <v>49</v>
      </c>
      <c r="I90" t="s">
        <v>9</v>
      </c>
    </row>
    <row r="91" spans="1:9" hidden="1" x14ac:dyDescent="0.3">
      <c r="A91" s="1">
        <v>45757</v>
      </c>
      <c r="B91" t="s">
        <v>36</v>
      </c>
      <c r="C91">
        <v>2025</v>
      </c>
      <c r="D91" t="s">
        <v>4</v>
      </c>
      <c r="E91" t="s">
        <v>19</v>
      </c>
      <c r="F91" t="s">
        <v>4</v>
      </c>
      <c r="G91">
        <v>118</v>
      </c>
      <c r="H91" t="s">
        <v>49</v>
      </c>
      <c r="I91" t="s">
        <v>6</v>
      </c>
    </row>
    <row r="92" spans="1:9" x14ac:dyDescent="0.3">
      <c r="A92" s="1">
        <v>45758</v>
      </c>
      <c r="B92" t="s">
        <v>36</v>
      </c>
      <c r="C92">
        <v>2025</v>
      </c>
      <c r="D92" t="s">
        <v>55</v>
      </c>
      <c r="E92" t="s">
        <v>41</v>
      </c>
      <c r="F92" t="s">
        <v>56</v>
      </c>
      <c r="G92">
        <v>3250</v>
      </c>
      <c r="H92" t="s">
        <v>45</v>
      </c>
      <c r="I92" t="s">
        <v>3</v>
      </c>
    </row>
    <row r="93" spans="1:9" hidden="1" x14ac:dyDescent="0.3">
      <c r="A93" s="1">
        <v>45758</v>
      </c>
      <c r="B93" t="s">
        <v>36</v>
      </c>
      <c r="C93">
        <v>2025</v>
      </c>
      <c r="D93" t="s">
        <v>7</v>
      </c>
      <c r="E93" t="s">
        <v>8</v>
      </c>
      <c r="F93" t="s">
        <v>50</v>
      </c>
      <c r="G93">
        <v>120</v>
      </c>
      <c r="H93" t="s">
        <v>49</v>
      </c>
      <c r="I93" t="s">
        <v>122</v>
      </c>
    </row>
    <row r="94" spans="1:9" hidden="1" x14ac:dyDescent="0.3">
      <c r="A94" s="1">
        <v>45759</v>
      </c>
      <c r="B94" t="s">
        <v>36</v>
      </c>
      <c r="C94">
        <v>2025</v>
      </c>
      <c r="D94" t="s">
        <v>7</v>
      </c>
      <c r="E94" t="s">
        <v>17</v>
      </c>
      <c r="F94" t="s">
        <v>51</v>
      </c>
      <c r="G94">
        <v>65</v>
      </c>
      <c r="H94" t="s">
        <v>49</v>
      </c>
      <c r="I94" t="s">
        <v>9</v>
      </c>
    </row>
    <row r="95" spans="1:9" hidden="1" x14ac:dyDescent="0.3">
      <c r="A95" s="1">
        <v>45759</v>
      </c>
      <c r="B95" t="s">
        <v>36</v>
      </c>
      <c r="C95">
        <v>2025</v>
      </c>
      <c r="D95" t="s">
        <v>100</v>
      </c>
      <c r="E95" t="s">
        <v>94</v>
      </c>
      <c r="F95" t="s">
        <v>63</v>
      </c>
      <c r="G95">
        <v>90</v>
      </c>
      <c r="H95" t="s">
        <v>49</v>
      </c>
      <c r="I95" t="s">
        <v>9</v>
      </c>
    </row>
    <row r="96" spans="1:9" hidden="1" x14ac:dyDescent="0.3">
      <c r="A96" s="1">
        <v>45760</v>
      </c>
      <c r="B96" t="s">
        <v>36</v>
      </c>
      <c r="C96">
        <v>2025</v>
      </c>
      <c r="D96" t="s">
        <v>7</v>
      </c>
      <c r="E96" t="s">
        <v>22</v>
      </c>
      <c r="F96" t="s">
        <v>52</v>
      </c>
      <c r="G96">
        <v>40</v>
      </c>
      <c r="H96" t="s">
        <v>49</v>
      </c>
      <c r="I96" t="s">
        <v>122</v>
      </c>
    </row>
    <row r="97" spans="1:9" x14ac:dyDescent="0.3">
      <c r="A97" s="1">
        <v>45762</v>
      </c>
      <c r="B97" t="s">
        <v>36</v>
      </c>
      <c r="C97">
        <v>2025</v>
      </c>
      <c r="D97" t="s">
        <v>42</v>
      </c>
      <c r="E97" t="s">
        <v>70</v>
      </c>
      <c r="F97" t="s">
        <v>71</v>
      </c>
      <c r="G97">
        <v>300</v>
      </c>
      <c r="H97" t="s">
        <v>45</v>
      </c>
      <c r="I97" t="s">
        <v>3</v>
      </c>
    </row>
    <row r="98" spans="1:9" hidden="1" x14ac:dyDescent="0.3">
      <c r="A98" s="1">
        <v>45762</v>
      </c>
      <c r="B98" t="s">
        <v>36</v>
      </c>
      <c r="C98">
        <v>2025</v>
      </c>
      <c r="D98" t="s">
        <v>79</v>
      </c>
      <c r="E98" t="s">
        <v>23</v>
      </c>
      <c r="F98" t="s">
        <v>53</v>
      </c>
      <c r="G98">
        <v>35</v>
      </c>
      <c r="H98" t="s">
        <v>49</v>
      </c>
      <c r="I98" t="s">
        <v>9</v>
      </c>
    </row>
    <row r="99" spans="1:9" hidden="1" x14ac:dyDescent="0.3">
      <c r="A99" s="1">
        <v>45763</v>
      </c>
      <c r="B99" t="s">
        <v>36</v>
      </c>
      <c r="C99">
        <v>2025</v>
      </c>
      <c r="D99" t="s">
        <v>59</v>
      </c>
      <c r="E99" t="s">
        <v>40</v>
      </c>
      <c r="F99" t="s">
        <v>54</v>
      </c>
      <c r="G99">
        <v>100</v>
      </c>
      <c r="H99" t="s">
        <v>49</v>
      </c>
      <c r="I99" t="s">
        <v>3</v>
      </c>
    </row>
    <row r="100" spans="1:9" hidden="1" x14ac:dyDescent="0.3">
      <c r="A100" s="1">
        <v>45764</v>
      </c>
      <c r="B100" t="s">
        <v>36</v>
      </c>
      <c r="C100">
        <v>2025</v>
      </c>
      <c r="D100" t="s">
        <v>4</v>
      </c>
      <c r="E100" t="s">
        <v>14</v>
      </c>
      <c r="F100" t="s">
        <v>57</v>
      </c>
      <c r="G100">
        <v>236</v>
      </c>
      <c r="H100" t="s">
        <v>49</v>
      </c>
      <c r="I100" t="s">
        <v>6</v>
      </c>
    </row>
    <row r="101" spans="1:9" hidden="1" x14ac:dyDescent="0.3">
      <c r="A101" s="1">
        <v>45765</v>
      </c>
      <c r="B101" t="s">
        <v>36</v>
      </c>
      <c r="C101">
        <v>2025</v>
      </c>
      <c r="D101" t="s">
        <v>12</v>
      </c>
      <c r="E101" t="s">
        <v>108</v>
      </c>
      <c r="F101" t="s">
        <v>58</v>
      </c>
      <c r="G101">
        <v>105</v>
      </c>
      <c r="H101" t="s">
        <v>49</v>
      </c>
      <c r="I101" t="s">
        <v>9</v>
      </c>
    </row>
    <row r="102" spans="1:9" hidden="1" x14ac:dyDescent="0.3">
      <c r="A102" s="1">
        <v>45766</v>
      </c>
      <c r="B102" t="s">
        <v>36</v>
      </c>
      <c r="C102">
        <v>2025</v>
      </c>
      <c r="D102" t="s">
        <v>59</v>
      </c>
      <c r="E102" t="s">
        <v>60</v>
      </c>
      <c r="F102" t="s">
        <v>61</v>
      </c>
      <c r="G102">
        <v>50</v>
      </c>
      <c r="H102" t="s">
        <v>49</v>
      </c>
      <c r="I102" t="s">
        <v>6</v>
      </c>
    </row>
    <row r="103" spans="1:9" hidden="1" x14ac:dyDescent="0.3">
      <c r="A103" s="1">
        <v>45767</v>
      </c>
      <c r="B103" t="s">
        <v>36</v>
      </c>
      <c r="C103">
        <v>2025</v>
      </c>
      <c r="D103" t="s">
        <v>10</v>
      </c>
      <c r="E103" t="s">
        <v>11</v>
      </c>
      <c r="F103" t="s">
        <v>62</v>
      </c>
      <c r="G103">
        <v>15</v>
      </c>
      <c r="H103" t="s">
        <v>49</v>
      </c>
      <c r="I103" t="s">
        <v>9</v>
      </c>
    </row>
    <row r="104" spans="1:9" hidden="1" x14ac:dyDescent="0.3">
      <c r="A104" s="1">
        <v>45768</v>
      </c>
      <c r="B104" t="s">
        <v>36</v>
      </c>
      <c r="C104">
        <v>2025</v>
      </c>
      <c r="D104" t="s">
        <v>10</v>
      </c>
      <c r="E104" t="s">
        <v>24</v>
      </c>
      <c r="F104" t="s">
        <v>62</v>
      </c>
      <c r="G104">
        <v>15</v>
      </c>
      <c r="H104" t="s">
        <v>49</v>
      </c>
      <c r="I104" t="s">
        <v>9</v>
      </c>
    </row>
    <row r="105" spans="1:9" hidden="1" x14ac:dyDescent="0.3">
      <c r="A105" s="1">
        <v>45771</v>
      </c>
      <c r="B105" t="s">
        <v>36</v>
      </c>
      <c r="C105">
        <v>2025</v>
      </c>
      <c r="D105" t="s">
        <v>4</v>
      </c>
      <c r="E105" t="s">
        <v>20</v>
      </c>
      <c r="F105" t="s">
        <v>64</v>
      </c>
      <c r="G105">
        <v>84</v>
      </c>
      <c r="H105" t="s">
        <v>49</v>
      </c>
      <c r="I105" t="s">
        <v>21</v>
      </c>
    </row>
    <row r="106" spans="1:9" hidden="1" x14ac:dyDescent="0.3">
      <c r="A106" s="1">
        <v>45772</v>
      </c>
      <c r="B106" t="s">
        <v>36</v>
      </c>
      <c r="C106">
        <v>2025</v>
      </c>
      <c r="D106" t="s">
        <v>79</v>
      </c>
      <c r="E106" t="s">
        <v>76</v>
      </c>
      <c r="F106" t="s">
        <v>80</v>
      </c>
      <c r="G106">
        <v>40</v>
      </c>
      <c r="H106" t="s">
        <v>49</v>
      </c>
      <c r="I106" t="s">
        <v>9</v>
      </c>
    </row>
    <row r="107" spans="1:9" x14ac:dyDescent="0.3">
      <c r="A107" s="1">
        <v>45772</v>
      </c>
      <c r="B107" t="s">
        <v>36</v>
      </c>
      <c r="C107">
        <v>2025</v>
      </c>
      <c r="D107" t="s">
        <v>55</v>
      </c>
      <c r="E107" t="s">
        <v>41</v>
      </c>
      <c r="F107" t="s">
        <v>56</v>
      </c>
      <c r="G107">
        <v>3250</v>
      </c>
      <c r="H107" t="s">
        <v>45</v>
      </c>
      <c r="I107" t="s">
        <v>3</v>
      </c>
    </row>
    <row r="108" spans="1:9" hidden="1" x14ac:dyDescent="0.3">
      <c r="A108" s="1">
        <v>45772</v>
      </c>
      <c r="B108" t="s">
        <v>36</v>
      </c>
      <c r="C108">
        <v>2025</v>
      </c>
      <c r="D108" t="s">
        <v>86</v>
      </c>
      <c r="E108" t="s">
        <v>28</v>
      </c>
      <c r="F108" t="s">
        <v>65</v>
      </c>
      <c r="G108">
        <v>25</v>
      </c>
      <c r="H108" t="s">
        <v>49</v>
      </c>
      <c r="I108" t="s">
        <v>27</v>
      </c>
    </row>
    <row r="109" spans="1:9" hidden="1" x14ac:dyDescent="0.3">
      <c r="A109" s="1">
        <v>45773</v>
      </c>
      <c r="B109" t="s">
        <v>36</v>
      </c>
      <c r="C109">
        <v>2025</v>
      </c>
      <c r="D109" t="s">
        <v>96</v>
      </c>
      <c r="E109" t="s">
        <v>96</v>
      </c>
      <c r="F109" t="s">
        <v>128</v>
      </c>
      <c r="G109">
        <v>200</v>
      </c>
      <c r="H109" t="s">
        <v>49</v>
      </c>
      <c r="I109" t="s">
        <v>9</v>
      </c>
    </row>
    <row r="110" spans="1:9" hidden="1" x14ac:dyDescent="0.3">
      <c r="A110" s="1">
        <v>45773</v>
      </c>
      <c r="B110" t="s">
        <v>36</v>
      </c>
      <c r="C110">
        <v>2025</v>
      </c>
      <c r="D110" t="s">
        <v>12</v>
      </c>
      <c r="E110" t="s">
        <v>108</v>
      </c>
      <c r="F110" t="s">
        <v>66</v>
      </c>
      <c r="G110">
        <v>45</v>
      </c>
      <c r="H110" t="s">
        <v>49</v>
      </c>
      <c r="I110" t="s">
        <v>9</v>
      </c>
    </row>
    <row r="111" spans="1:9" hidden="1" x14ac:dyDescent="0.3">
      <c r="A111" s="1">
        <v>45774</v>
      </c>
      <c r="B111" t="s">
        <v>36</v>
      </c>
      <c r="C111">
        <v>2025</v>
      </c>
      <c r="D111" t="s">
        <v>67</v>
      </c>
      <c r="E111" t="s">
        <v>15</v>
      </c>
      <c r="F111" t="s">
        <v>67</v>
      </c>
      <c r="G111">
        <v>35</v>
      </c>
      <c r="H111" t="s">
        <v>49</v>
      </c>
      <c r="I111" t="s">
        <v>9</v>
      </c>
    </row>
    <row r="112" spans="1:9" hidden="1" x14ac:dyDescent="0.3">
      <c r="A112" s="1">
        <v>45778</v>
      </c>
      <c r="B112" t="s">
        <v>30</v>
      </c>
      <c r="C112">
        <v>2025</v>
      </c>
      <c r="D112" t="s">
        <v>67</v>
      </c>
      <c r="E112" t="s">
        <v>82</v>
      </c>
      <c r="F112" t="s">
        <v>67</v>
      </c>
      <c r="G112">
        <v>250</v>
      </c>
      <c r="H112" t="s">
        <v>49</v>
      </c>
      <c r="I112" t="s">
        <v>9</v>
      </c>
    </row>
    <row r="113" spans="1:9" x14ac:dyDescent="0.3">
      <c r="A113" s="1">
        <v>45778</v>
      </c>
      <c r="B113" t="s">
        <v>30</v>
      </c>
      <c r="C113">
        <v>2025</v>
      </c>
      <c r="D113" t="s">
        <v>42</v>
      </c>
      <c r="E113" t="s">
        <v>46</v>
      </c>
      <c r="F113" t="s">
        <v>47</v>
      </c>
      <c r="G113">
        <v>35</v>
      </c>
      <c r="H113" t="s">
        <v>45</v>
      </c>
      <c r="I113" t="s">
        <v>3</v>
      </c>
    </row>
    <row r="114" spans="1:9" hidden="1" x14ac:dyDescent="0.3">
      <c r="A114" s="1">
        <v>45778</v>
      </c>
      <c r="B114" t="s">
        <v>30</v>
      </c>
      <c r="C114">
        <v>2025</v>
      </c>
      <c r="D114" t="s">
        <v>74</v>
      </c>
      <c r="E114" t="s">
        <v>75</v>
      </c>
      <c r="F114" t="s">
        <v>48</v>
      </c>
      <c r="G114">
        <v>2712</v>
      </c>
      <c r="H114" t="s">
        <v>49</v>
      </c>
      <c r="I114" t="s">
        <v>3</v>
      </c>
    </row>
    <row r="115" spans="1:9" hidden="1" x14ac:dyDescent="0.3">
      <c r="A115" s="1">
        <v>45778</v>
      </c>
      <c r="B115" t="s">
        <v>30</v>
      </c>
      <c r="C115">
        <v>2025</v>
      </c>
      <c r="D115" t="s">
        <v>7</v>
      </c>
      <c r="E115" t="s">
        <v>77</v>
      </c>
      <c r="F115" t="s">
        <v>110</v>
      </c>
      <c r="G115">
        <v>45</v>
      </c>
      <c r="H115" t="s">
        <v>49</v>
      </c>
      <c r="I115" t="s">
        <v>9</v>
      </c>
    </row>
    <row r="116" spans="1:9" hidden="1" x14ac:dyDescent="0.3">
      <c r="A116" s="1">
        <v>45780</v>
      </c>
      <c r="B116" t="s">
        <v>30</v>
      </c>
      <c r="C116">
        <v>2025</v>
      </c>
      <c r="D116" t="s">
        <v>4</v>
      </c>
      <c r="E116" t="s">
        <v>5</v>
      </c>
      <c r="F116" t="s">
        <v>68</v>
      </c>
      <c r="G116">
        <v>205</v>
      </c>
      <c r="H116" t="s">
        <v>49</v>
      </c>
      <c r="I116" t="s">
        <v>6</v>
      </c>
    </row>
    <row r="117" spans="1:9" hidden="1" x14ac:dyDescent="0.3">
      <c r="A117" s="1">
        <v>45782</v>
      </c>
      <c r="B117" t="s">
        <v>30</v>
      </c>
      <c r="C117">
        <v>2025</v>
      </c>
      <c r="D117" t="s">
        <v>79</v>
      </c>
      <c r="E117" t="s">
        <v>76</v>
      </c>
      <c r="F117" t="s">
        <v>80</v>
      </c>
      <c r="G117">
        <v>70</v>
      </c>
      <c r="H117" t="s">
        <v>49</v>
      </c>
      <c r="I117" t="s">
        <v>9</v>
      </c>
    </row>
    <row r="118" spans="1:9" x14ac:dyDescent="0.3">
      <c r="A118" s="1">
        <v>45786</v>
      </c>
      <c r="B118" t="s">
        <v>30</v>
      </c>
      <c r="C118">
        <v>2025</v>
      </c>
      <c r="D118" t="s">
        <v>55</v>
      </c>
      <c r="E118" t="s">
        <v>41</v>
      </c>
      <c r="F118" t="s">
        <v>56</v>
      </c>
      <c r="G118">
        <v>3250</v>
      </c>
      <c r="H118" t="s">
        <v>45</v>
      </c>
      <c r="I118" t="s">
        <v>3</v>
      </c>
    </row>
    <row r="119" spans="1:9" hidden="1" x14ac:dyDescent="0.3">
      <c r="A119" s="1">
        <v>45787</v>
      </c>
      <c r="B119" t="s">
        <v>30</v>
      </c>
      <c r="C119">
        <v>2025</v>
      </c>
      <c r="D119" t="s">
        <v>113</v>
      </c>
      <c r="E119" t="s">
        <v>16</v>
      </c>
      <c r="F119" t="s">
        <v>113</v>
      </c>
      <c r="G119">
        <v>69</v>
      </c>
      <c r="H119" t="s">
        <v>49</v>
      </c>
      <c r="I119" t="s">
        <v>9</v>
      </c>
    </row>
    <row r="120" spans="1:9" hidden="1" x14ac:dyDescent="0.3">
      <c r="A120" s="1">
        <v>45787</v>
      </c>
      <c r="B120" t="s">
        <v>30</v>
      </c>
      <c r="C120">
        <v>2025</v>
      </c>
      <c r="D120" t="s">
        <v>4</v>
      </c>
      <c r="E120" t="s">
        <v>19</v>
      </c>
      <c r="F120" t="s">
        <v>4</v>
      </c>
      <c r="G120">
        <v>120</v>
      </c>
      <c r="H120" t="s">
        <v>49</v>
      </c>
      <c r="I120" t="s">
        <v>6</v>
      </c>
    </row>
    <row r="121" spans="1:9" hidden="1" x14ac:dyDescent="0.3">
      <c r="A121" s="1">
        <v>45788</v>
      </c>
      <c r="B121" t="s">
        <v>30</v>
      </c>
      <c r="C121">
        <v>2025</v>
      </c>
      <c r="D121" t="s">
        <v>7</v>
      </c>
      <c r="E121" t="s">
        <v>8</v>
      </c>
      <c r="F121" t="s">
        <v>50</v>
      </c>
      <c r="G121">
        <v>120</v>
      </c>
      <c r="H121" t="s">
        <v>49</v>
      </c>
      <c r="I121" t="s">
        <v>9</v>
      </c>
    </row>
    <row r="122" spans="1:9" hidden="1" x14ac:dyDescent="0.3">
      <c r="A122" s="1">
        <v>45789</v>
      </c>
      <c r="B122" t="s">
        <v>30</v>
      </c>
      <c r="C122">
        <v>2025</v>
      </c>
      <c r="D122" t="s">
        <v>7</v>
      </c>
      <c r="E122" t="s">
        <v>17</v>
      </c>
      <c r="F122" t="s">
        <v>51</v>
      </c>
      <c r="G122">
        <v>70</v>
      </c>
      <c r="H122" t="s">
        <v>49</v>
      </c>
      <c r="I122" t="s">
        <v>9</v>
      </c>
    </row>
    <row r="123" spans="1:9" hidden="1" x14ac:dyDescent="0.3">
      <c r="A123" s="1">
        <v>45790</v>
      </c>
      <c r="B123" t="s">
        <v>30</v>
      </c>
      <c r="C123">
        <v>2025</v>
      </c>
      <c r="D123" t="s">
        <v>7</v>
      </c>
      <c r="E123" t="s">
        <v>22</v>
      </c>
      <c r="F123" t="s">
        <v>52</v>
      </c>
      <c r="G123">
        <v>28</v>
      </c>
      <c r="H123" t="s">
        <v>49</v>
      </c>
      <c r="I123" t="s">
        <v>9</v>
      </c>
    </row>
    <row r="124" spans="1:9" hidden="1" x14ac:dyDescent="0.3">
      <c r="A124" s="1">
        <v>45792</v>
      </c>
      <c r="B124" t="s">
        <v>30</v>
      </c>
      <c r="C124">
        <v>2025</v>
      </c>
      <c r="D124" t="s">
        <v>79</v>
      </c>
      <c r="E124" t="s">
        <v>23</v>
      </c>
      <c r="F124" t="s">
        <v>53</v>
      </c>
      <c r="G124">
        <v>80</v>
      </c>
      <c r="H124" t="s">
        <v>49</v>
      </c>
      <c r="I124" t="s">
        <v>9</v>
      </c>
    </row>
    <row r="125" spans="1:9" hidden="1" x14ac:dyDescent="0.3">
      <c r="A125" s="1">
        <v>45793</v>
      </c>
      <c r="B125" t="s">
        <v>30</v>
      </c>
      <c r="C125">
        <v>2025</v>
      </c>
      <c r="D125" t="s">
        <v>59</v>
      </c>
      <c r="E125" t="s">
        <v>40</v>
      </c>
      <c r="F125" t="s">
        <v>54</v>
      </c>
      <c r="G125">
        <v>100</v>
      </c>
      <c r="H125" t="s">
        <v>49</v>
      </c>
      <c r="I125" t="s">
        <v>3</v>
      </c>
    </row>
    <row r="126" spans="1:9" hidden="1" x14ac:dyDescent="0.3">
      <c r="A126" s="1">
        <v>45794</v>
      </c>
      <c r="B126" t="s">
        <v>30</v>
      </c>
      <c r="C126">
        <v>2025</v>
      </c>
      <c r="D126" t="s">
        <v>4</v>
      </c>
      <c r="E126" t="s">
        <v>14</v>
      </c>
      <c r="F126" t="s">
        <v>57</v>
      </c>
      <c r="G126">
        <v>240</v>
      </c>
      <c r="H126" t="s">
        <v>49</v>
      </c>
      <c r="I126" t="s">
        <v>6</v>
      </c>
    </row>
    <row r="127" spans="1:9" hidden="1" x14ac:dyDescent="0.3">
      <c r="A127" s="1">
        <v>45795</v>
      </c>
      <c r="B127" t="s">
        <v>30</v>
      </c>
      <c r="C127">
        <v>2025</v>
      </c>
      <c r="D127" t="s">
        <v>12</v>
      </c>
      <c r="E127" t="s">
        <v>108</v>
      </c>
      <c r="F127" t="s">
        <v>58</v>
      </c>
      <c r="G127">
        <v>85</v>
      </c>
      <c r="H127" t="s">
        <v>49</v>
      </c>
      <c r="I127" t="s">
        <v>9</v>
      </c>
    </row>
    <row r="128" spans="1:9" hidden="1" x14ac:dyDescent="0.3">
      <c r="A128" s="1">
        <v>45796</v>
      </c>
      <c r="B128" t="s">
        <v>30</v>
      </c>
      <c r="C128">
        <v>2025</v>
      </c>
      <c r="D128" t="s">
        <v>59</v>
      </c>
      <c r="E128" t="s">
        <v>60</v>
      </c>
      <c r="F128" t="s">
        <v>61</v>
      </c>
      <c r="G128">
        <v>60</v>
      </c>
      <c r="H128" t="s">
        <v>49</v>
      </c>
      <c r="I128" t="s">
        <v>6</v>
      </c>
    </row>
    <row r="129" spans="1:9" hidden="1" x14ac:dyDescent="0.3">
      <c r="A129" s="1">
        <v>45797</v>
      </c>
      <c r="B129" t="s">
        <v>30</v>
      </c>
      <c r="C129">
        <v>2025</v>
      </c>
      <c r="D129" t="s">
        <v>10</v>
      </c>
      <c r="E129" t="s">
        <v>11</v>
      </c>
      <c r="F129" t="s">
        <v>62</v>
      </c>
      <c r="G129">
        <v>15</v>
      </c>
      <c r="H129" t="s">
        <v>49</v>
      </c>
      <c r="I129" t="s">
        <v>9</v>
      </c>
    </row>
    <row r="130" spans="1:9" hidden="1" x14ac:dyDescent="0.3">
      <c r="A130" s="1">
        <v>45798</v>
      </c>
      <c r="B130" t="s">
        <v>30</v>
      </c>
      <c r="C130">
        <v>2025</v>
      </c>
      <c r="D130" t="s">
        <v>10</v>
      </c>
      <c r="E130" t="s">
        <v>24</v>
      </c>
      <c r="F130" t="s">
        <v>62</v>
      </c>
      <c r="G130">
        <v>15</v>
      </c>
      <c r="H130" t="s">
        <v>49</v>
      </c>
      <c r="I130" t="s">
        <v>9</v>
      </c>
    </row>
    <row r="131" spans="1:9" x14ac:dyDescent="0.3">
      <c r="A131" s="1">
        <v>45800</v>
      </c>
      <c r="B131" t="s">
        <v>30</v>
      </c>
      <c r="C131">
        <v>2025</v>
      </c>
      <c r="D131" t="s">
        <v>55</v>
      </c>
      <c r="E131" t="s">
        <v>41</v>
      </c>
      <c r="F131" t="s">
        <v>56</v>
      </c>
      <c r="G131">
        <v>3250</v>
      </c>
      <c r="H131" t="s">
        <v>45</v>
      </c>
      <c r="I131" t="s">
        <v>3</v>
      </c>
    </row>
    <row r="132" spans="1:9" hidden="1" x14ac:dyDescent="0.3">
      <c r="A132" s="1">
        <v>45800</v>
      </c>
      <c r="B132" t="s">
        <v>30</v>
      </c>
      <c r="C132">
        <v>2025</v>
      </c>
      <c r="D132" t="s">
        <v>100</v>
      </c>
      <c r="E132" t="s">
        <v>16</v>
      </c>
      <c r="F132" t="s">
        <v>63</v>
      </c>
      <c r="G132">
        <v>45</v>
      </c>
      <c r="H132" t="s">
        <v>49</v>
      </c>
      <c r="I132" t="s">
        <v>9</v>
      </c>
    </row>
    <row r="133" spans="1:9" hidden="1" x14ac:dyDescent="0.3">
      <c r="A133" s="1">
        <v>45801</v>
      </c>
      <c r="B133" t="s">
        <v>30</v>
      </c>
      <c r="C133">
        <v>2025</v>
      </c>
      <c r="D133" t="s">
        <v>4</v>
      </c>
      <c r="E133" t="s">
        <v>20</v>
      </c>
      <c r="F133" t="s">
        <v>64</v>
      </c>
      <c r="G133">
        <v>85</v>
      </c>
      <c r="H133" t="s">
        <v>49</v>
      </c>
      <c r="I133" t="s">
        <v>21</v>
      </c>
    </row>
    <row r="134" spans="1:9" hidden="1" x14ac:dyDescent="0.3">
      <c r="A134" s="1">
        <v>45802</v>
      </c>
      <c r="B134" t="s">
        <v>30</v>
      </c>
      <c r="C134">
        <v>2025</v>
      </c>
      <c r="D134" t="s">
        <v>86</v>
      </c>
      <c r="E134" t="s">
        <v>99</v>
      </c>
      <c r="F134" t="s">
        <v>65</v>
      </c>
      <c r="G134">
        <v>32</v>
      </c>
      <c r="H134" t="s">
        <v>49</v>
      </c>
      <c r="I134" t="s">
        <v>27</v>
      </c>
    </row>
    <row r="135" spans="1:9" hidden="1" x14ac:dyDescent="0.3">
      <c r="A135" s="1">
        <v>45803</v>
      </c>
      <c r="B135" t="s">
        <v>30</v>
      </c>
      <c r="C135">
        <v>2025</v>
      </c>
      <c r="D135" t="s">
        <v>12</v>
      </c>
      <c r="E135" t="s">
        <v>108</v>
      </c>
      <c r="F135" t="s">
        <v>66</v>
      </c>
      <c r="G135">
        <v>50</v>
      </c>
      <c r="H135" t="s">
        <v>49</v>
      </c>
      <c r="I135" t="s">
        <v>9</v>
      </c>
    </row>
    <row r="136" spans="1:9" hidden="1" x14ac:dyDescent="0.3">
      <c r="A136" s="1">
        <v>45804</v>
      </c>
      <c r="B136" t="s">
        <v>30</v>
      </c>
      <c r="C136">
        <v>2025</v>
      </c>
      <c r="D136" t="s">
        <v>67</v>
      </c>
      <c r="E136" t="s">
        <v>15</v>
      </c>
      <c r="F136" t="s">
        <v>67</v>
      </c>
      <c r="G136">
        <v>32</v>
      </c>
      <c r="H136" t="s">
        <v>49</v>
      </c>
      <c r="I136" t="s">
        <v>9</v>
      </c>
    </row>
    <row r="137" spans="1:9" hidden="1" x14ac:dyDescent="0.3">
      <c r="A137" s="1">
        <v>45809</v>
      </c>
      <c r="B137" t="s">
        <v>37</v>
      </c>
      <c r="C137">
        <v>2025</v>
      </c>
      <c r="D137" t="s">
        <v>67</v>
      </c>
      <c r="E137" t="s">
        <v>82</v>
      </c>
      <c r="F137" t="s">
        <v>67</v>
      </c>
      <c r="G137">
        <v>250</v>
      </c>
      <c r="H137" t="s">
        <v>49</v>
      </c>
      <c r="I137" t="s">
        <v>9</v>
      </c>
    </row>
    <row r="138" spans="1:9" x14ac:dyDescent="0.3">
      <c r="A138" s="1">
        <v>45809</v>
      </c>
      <c r="B138" t="s">
        <v>37</v>
      </c>
      <c r="C138">
        <v>2025</v>
      </c>
      <c r="D138" t="s">
        <v>42</v>
      </c>
      <c r="E138" t="s">
        <v>46</v>
      </c>
      <c r="F138" t="s">
        <v>47</v>
      </c>
      <c r="G138">
        <v>40</v>
      </c>
      <c r="H138" t="s">
        <v>45</v>
      </c>
      <c r="I138" t="s">
        <v>3</v>
      </c>
    </row>
    <row r="139" spans="1:9" hidden="1" x14ac:dyDescent="0.3">
      <c r="A139" s="1">
        <v>45809</v>
      </c>
      <c r="B139" t="s">
        <v>37</v>
      </c>
      <c r="C139">
        <v>2025</v>
      </c>
      <c r="D139" t="s">
        <v>74</v>
      </c>
      <c r="E139" t="s">
        <v>75</v>
      </c>
      <c r="F139" t="s">
        <v>48</v>
      </c>
      <c r="G139">
        <v>2712</v>
      </c>
      <c r="H139" t="s">
        <v>49</v>
      </c>
      <c r="I139" t="s">
        <v>3</v>
      </c>
    </row>
    <row r="140" spans="1:9" hidden="1" x14ac:dyDescent="0.3">
      <c r="A140" s="1">
        <v>45810</v>
      </c>
      <c r="B140" t="s">
        <v>37</v>
      </c>
      <c r="C140">
        <v>2025</v>
      </c>
      <c r="D140" t="s">
        <v>7</v>
      </c>
      <c r="E140" t="s">
        <v>77</v>
      </c>
      <c r="F140" t="s">
        <v>110</v>
      </c>
      <c r="G140">
        <v>45</v>
      </c>
      <c r="H140" t="s">
        <v>49</v>
      </c>
      <c r="I140" t="s">
        <v>9</v>
      </c>
    </row>
    <row r="141" spans="1:9" hidden="1" x14ac:dyDescent="0.3">
      <c r="A141" s="1">
        <v>45811</v>
      </c>
      <c r="B141" t="s">
        <v>37</v>
      </c>
      <c r="C141">
        <v>2025</v>
      </c>
      <c r="D141" t="s">
        <v>100</v>
      </c>
      <c r="E141" t="s">
        <v>92</v>
      </c>
      <c r="F141" t="s">
        <v>63</v>
      </c>
      <c r="G141">
        <v>150</v>
      </c>
      <c r="H141" t="s">
        <v>49</v>
      </c>
      <c r="I141" t="s">
        <v>9</v>
      </c>
    </row>
    <row r="142" spans="1:9" hidden="1" x14ac:dyDescent="0.3">
      <c r="A142" s="1">
        <v>45811</v>
      </c>
      <c r="B142" t="s">
        <v>37</v>
      </c>
      <c r="C142">
        <v>2025</v>
      </c>
      <c r="D142" t="s">
        <v>4</v>
      </c>
      <c r="E142" t="s">
        <v>5</v>
      </c>
      <c r="F142" t="s">
        <v>68</v>
      </c>
      <c r="G142">
        <v>208</v>
      </c>
      <c r="H142" t="s">
        <v>49</v>
      </c>
      <c r="I142" t="s">
        <v>6</v>
      </c>
    </row>
    <row r="143" spans="1:9" x14ac:dyDescent="0.3">
      <c r="A143" s="1">
        <v>45814</v>
      </c>
      <c r="B143" t="s">
        <v>37</v>
      </c>
      <c r="C143">
        <v>2025</v>
      </c>
      <c r="D143" t="s">
        <v>55</v>
      </c>
      <c r="E143" t="s">
        <v>41</v>
      </c>
      <c r="F143" t="s">
        <v>56</v>
      </c>
      <c r="G143">
        <v>3250</v>
      </c>
      <c r="H143" t="s">
        <v>45</v>
      </c>
      <c r="I143" t="s">
        <v>3</v>
      </c>
    </row>
    <row r="144" spans="1:9" hidden="1" x14ac:dyDescent="0.3">
      <c r="A144" s="1">
        <v>45818</v>
      </c>
      <c r="B144" t="s">
        <v>37</v>
      </c>
      <c r="C144">
        <v>2025</v>
      </c>
      <c r="D144" t="s">
        <v>4</v>
      </c>
      <c r="E144" t="s">
        <v>19</v>
      </c>
      <c r="F144" t="s">
        <v>4</v>
      </c>
      <c r="G144">
        <v>122</v>
      </c>
      <c r="H144" t="s">
        <v>49</v>
      </c>
      <c r="I144" t="s">
        <v>6</v>
      </c>
    </row>
    <row r="145" spans="1:9" hidden="1" x14ac:dyDescent="0.3">
      <c r="A145" s="1">
        <v>45819</v>
      </c>
      <c r="B145" t="s">
        <v>37</v>
      </c>
      <c r="C145">
        <v>2025</v>
      </c>
      <c r="D145" t="s">
        <v>7</v>
      </c>
      <c r="E145" t="s">
        <v>8</v>
      </c>
      <c r="F145" t="s">
        <v>50</v>
      </c>
      <c r="G145">
        <v>200</v>
      </c>
      <c r="H145" t="s">
        <v>49</v>
      </c>
      <c r="I145" t="s">
        <v>9</v>
      </c>
    </row>
    <row r="146" spans="1:9" hidden="1" x14ac:dyDescent="0.3">
      <c r="A146" s="1">
        <v>45820</v>
      </c>
      <c r="B146" t="s">
        <v>37</v>
      </c>
      <c r="C146">
        <v>2025</v>
      </c>
      <c r="D146" t="s">
        <v>7</v>
      </c>
      <c r="E146" t="s">
        <v>17</v>
      </c>
      <c r="F146" t="s">
        <v>51</v>
      </c>
      <c r="G146">
        <v>60</v>
      </c>
      <c r="H146" t="s">
        <v>49</v>
      </c>
      <c r="I146" t="s">
        <v>9</v>
      </c>
    </row>
    <row r="147" spans="1:9" hidden="1" x14ac:dyDescent="0.3">
      <c r="A147" s="1">
        <v>45821</v>
      </c>
      <c r="B147" t="s">
        <v>37</v>
      </c>
      <c r="C147">
        <v>2025</v>
      </c>
      <c r="D147" t="s">
        <v>7</v>
      </c>
      <c r="E147" t="s">
        <v>22</v>
      </c>
      <c r="F147" t="s">
        <v>52</v>
      </c>
      <c r="G147">
        <v>22</v>
      </c>
      <c r="H147" t="s">
        <v>49</v>
      </c>
      <c r="I147" t="s">
        <v>9</v>
      </c>
    </row>
    <row r="148" spans="1:9" hidden="1" x14ac:dyDescent="0.3">
      <c r="A148" s="1">
        <v>45823</v>
      </c>
      <c r="B148" t="s">
        <v>37</v>
      </c>
      <c r="C148">
        <v>2025</v>
      </c>
      <c r="D148" t="s">
        <v>79</v>
      </c>
      <c r="E148" t="s">
        <v>23</v>
      </c>
      <c r="F148" t="s">
        <v>53</v>
      </c>
      <c r="G148">
        <v>100</v>
      </c>
      <c r="H148" t="s">
        <v>49</v>
      </c>
      <c r="I148" t="s">
        <v>9</v>
      </c>
    </row>
    <row r="149" spans="1:9" hidden="1" x14ac:dyDescent="0.3">
      <c r="A149" s="1">
        <v>45824</v>
      </c>
      <c r="B149" t="s">
        <v>37</v>
      </c>
      <c r="C149">
        <v>2025</v>
      </c>
      <c r="D149" t="s">
        <v>59</v>
      </c>
      <c r="E149" t="s">
        <v>40</v>
      </c>
      <c r="F149" t="s">
        <v>54</v>
      </c>
      <c r="G149">
        <v>100</v>
      </c>
      <c r="H149" t="s">
        <v>49</v>
      </c>
      <c r="I149" t="s">
        <v>3</v>
      </c>
    </row>
    <row r="150" spans="1:9" hidden="1" x14ac:dyDescent="0.3">
      <c r="A150" s="1">
        <v>45825</v>
      </c>
      <c r="B150" t="s">
        <v>37</v>
      </c>
      <c r="C150">
        <v>2025</v>
      </c>
      <c r="D150" t="s">
        <v>4</v>
      </c>
      <c r="E150" t="s">
        <v>14</v>
      </c>
      <c r="F150" t="s">
        <v>57</v>
      </c>
      <c r="G150">
        <v>244</v>
      </c>
      <c r="H150" t="s">
        <v>49</v>
      </c>
      <c r="I150" t="s">
        <v>6</v>
      </c>
    </row>
    <row r="151" spans="1:9" hidden="1" x14ac:dyDescent="0.3">
      <c r="A151" s="1">
        <v>45826</v>
      </c>
      <c r="B151" t="s">
        <v>37</v>
      </c>
      <c r="C151">
        <v>2025</v>
      </c>
      <c r="D151" t="s">
        <v>12</v>
      </c>
      <c r="E151" t="s">
        <v>108</v>
      </c>
      <c r="F151" t="s">
        <v>58</v>
      </c>
      <c r="G151">
        <v>90</v>
      </c>
      <c r="H151" t="s">
        <v>49</v>
      </c>
      <c r="I151" t="s">
        <v>9</v>
      </c>
    </row>
    <row r="152" spans="1:9" hidden="1" x14ac:dyDescent="0.3">
      <c r="A152" s="1">
        <v>45826</v>
      </c>
      <c r="B152" t="s">
        <v>37</v>
      </c>
      <c r="C152">
        <v>2025</v>
      </c>
      <c r="D152" t="s">
        <v>31</v>
      </c>
      <c r="E152" t="s">
        <v>32</v>
      </c>
      <c r="F152" t="s">
        <v>69</v>
      </c>
      <c r="G152">
        <v>890</v>
      </c>
      <c r="H152" t="s">
        <v>49</v>
      </c>
      <c r="I152" t="s">
        <v>9</v>
      </c>
    </row>
    <row r="153" spans="1:9" hidden="1" x14ac:dyDescent="0.3">
      <c r="A153" s="1">
        <v>45827</v>
      </c>
      <c r="B153" t="s">
        <v>37</v>
      </c>
      <c r="C153">
        <v>2025</v>
      </c>
      <c r="D153" t="s">
        <v>59</v>
      </c>
      <c r="E153" t="s">
        <v>60</v>
      </c>
      <c r="F153" t="s">
        <v>61</v>
      </c>
      <c r="G153">
        <v>50</v>
      </c>
      <c r="H153" t="s">
        <v>49</v>
      </c>
      <c r="I153" t="s">
        <v>6</v>
      </c>
    </row>
    <row r="154" spans="1:9" x14ac:dyDescent="0.3">
      <c r="A154" s="1">
        <v>45828</v>
      </c>
      <c r="B154" t="s">
        <v>37</v>
      </c>
      <c r="C154">
        <v>2025</v>
      </c>
      <c r="D154" t="s">
        <v>55</v>
      </c>
      <c r="E154" t="s">
        <v>41</v>
      </c>
      <c r="F154" t="s">
        <v>56</v>
      </c>
      <c r="G154">
        <v>3250</v>
      </c>
      <c r="H154" t="s">
        <v>45</v>
      </c>
      <c r="I154" t="s">
        <v>3</v>
      </c>
    </row>
    <row r="155" spans="1:9" hidden="1" x14ac:dyDescent="0.3">
      <c r="A155" s="1">
        <v>45828</v>
      </c>
      <c r="B155" t="s">
        <v>37</v>
      </c>
      <c r="C155">
        <v>2025</v>
      </c>
      <c r="D155" t="s">
        <v>10</v>
      </c>
      <c r="E155" t="s">
        <v>11</v>
      </c>
      <c r="F155" t="s">
        <v>62</v>
      </c>
      <c r="G155">
        <v>15</v>
      </c>
      <c r="H155" t="s">
        <v>49</v>
      </c>
      <c r="I155" t="s">
        <v>9</v>
      </c>
    </row>
    <row r="156" spans="1:9" hidden="1" x14ac:dyDescent="0.3">
      <c r="A156" s="1">
        <v>45829</v>
      </c>
      <c r="B156" t="s">
        <v>37</v>
      </c>
      <c r="C156">
        <v>2025</v>
      </c>
      <c r="D156" t="s">
        <v>10</v>
      </c>
      <c r="E156" t="s">
        <v>24</v>
      </c>
      <c r="F156" t="s">
        <v>62</v>
      </c>
      <c r="G156">
        <v>15</v>
      </c>
      <c r="H156" t="s">
        <v>49</v>
      </c>
      <c r="I156" t="s">
        <v>9</v>
      </c>
    </row>
    <row r="157" spans="1:9" hidden="1" x14ac:dyDescent="0.3">
      <c r="A157" s="1">
        <v>45832</v>
      </c>
      <c r="B157" t="s">
        <v>37</v>
      </c>
      <c r="C157">
        <v>2025</v>
      </c>
      <c r="D157" t="s">
        <v>79</v>
      </c>
      <c r="E157" t="s">
        <v>76</v>
      </c>
      <c r="F157" t="s">
        <v>80</v>
      </c>
      <c r="G157">
        <v>77</v>
      </c>
      <c r="H157" t="s">
        <v>49</v>
      </c>
      <c r="I157" t="s">
        <v>9</v>
      </c>
    </row>
    <row r="158" spans="1:9" hidden="1" x14ac:dyDescent="0.3">
      <c r="A158" s="1">
        <v>45832</v>
      </c>
      <c r="B158" t="s">
        <v>37</v>
      </c>
      <c r="C158">
        <v>2025</v>
      </c>
      <c r="D158" t="s">
        <v>4</v>
      </c>
      <c r="E158" t="s">
        <v>20</v>
      </c>
      <c r="F158" t="s">
        <v>64</v>
      </c>
      <c r="G158">
        <v>86</v>
      </c>
      <c r="H158" t="s">
        <v>49</v>
      </c>
      <c r="I158" t="s">
        <v>21</v>
      </c>
    </row>
    <row r="159" spans="1:9" hidden="1" x14ac:dyDescent="0.3">
      <c r="A159" s="1">
        <v>45833</v>
      </c>
      <c r="B159" t="s">
        <v>37</v>
      </c>
      <c r="C159">
        <v>2025</v>
      </c>
      <c r="D159" t="s">
        <v>67</v>
      </c>
      <c r="E159" t="s">
        <v>98</v>
      </c>
      <c r="F159" t="s">
        <v>106</v>
      </c>
      <c r="G159">
        <v>120</v>
      </c>
      <c r="H159" t="s">
        <v>49</v>
      </c>
      <c r="I159" t="s">
        <v>9</v>
      </c>
    </row>
    <row r="160" spans="1:9" hidden="1" x14ac:dyDescent="0.3">
      <c r="A160" s="1">
        <v>45833</v>
      </c>
      <c r="B160" t="s">
        <v>37</v>
      </c>
      <c r="C160">
        <v>2025</v>
      </c>
      <c r="D160" t="s">
        <v>86</v>
      </c>
      <c r="E160" t="s">
        <v>28</v>
      </c>
      <c r="F160" t="s">
        <v>65</v>
      </c>
      <c r="G160">
        <v>95</v>
      </c>
      <c r="H160" t="s">
        <v>49</v>
      </c>
      <c r="I160" t="s">
        <v>27</v>
      </c>
    </row>
    <row r="161" spans="1:9" hidden="1" x14ac:dyDescent="0.3">
      <c r="A161" s="1">
        <v>45834</v>
      </c>
      <c r="B161" t="s">
        <v>37</v>
      </c>
      <c r="C161">
        <v>2025</v>
      </c>
      <c r="D161" t="s">
        <v>12</v>
      </c>
      <c r="E161" t="s">
        <v>108</v>
      </c>
      <c r="F161" t="s">
        <v>66</v>
      </c>
      <c r="G161">
        <v>55</v>
      </c>
      <c r="H161" t="s">
        <v>49</v>
      </c>
      <c r="I161" t="s">
        <v>9</v>
      </c>
    </row>
    <row r="162" spans="1:9" hidden="1" x14ac:dyDescent="0.3">
      <c r="A162" s="1">
        <v>45835</v>
      </c>
      <c r="B162" t="s">
        <v>37</v>
      </c>
      <c r="C162">
        <v>2025</v>
      </c>
      <c r="D162" t="s">
        <v>67</v>
      </c>
      <c r="E162" t="s">
        <v>15</v>
      </c>
      <c r="F162" t="s">
        <v>67</v>
      </c>
      <c r="G162">
        <v>38</v>
      </c>
      <c r="H162" t="s">
        <v>49</v>
      </c>
      <c r="I162" t="s">
        <v>9</v>
      </c>
    </row>
    <row r="163" spans="1:9" hidden="1" x14ac:dyDescent="0.3">
      <c r="A163" s="1">
        <v>45839</v>
      </c>
      <c r="B163" t="s">
        <v>114</v>
      </c>
      <c r="C163">
        <v>2025</v>
      </c>
      <c r="D163" t="s">
        <v>67</v>
      </c>
      <c r="E163" t="s">
        <v>82</v>
      </c>
      <c r="F163" t="s">
        <v>67</v>
      </c>
      <c r="G163">
        <v>250</v>
      </c>
      <c r="H163" t="s">
        <v>49</v>
      </c>
      <c r="I163" t="s">
        <v>9</v>
      </c>
    </row>
    <row r="164" spans="1:9" x14ac:dyDescent="0.3">
      <c r="A164" s="1">
        <v>45839</v>
      </c>
      <c r="B164" t="s">
        <v>114</v>
      </c>
      <c r="C164">
        <v>2025</v>
      </c>
      <c r="D164" t="s">
        <v>42</v>
      </c>
      <c r="E164" t="s">
        <v>43</v>
      </c>
      <c r="F164" t="s">
        <v>44</v>
      </c>
      <c r="G164">
        <v>75</v>
      </c>
      <c r="H164" t="s">
        <v>45</v>
      </c>
      <c r="I164" t="s">
        <v>3</v>
      </c>
    </row>
    <row r="165" spans="1:9" x14ac:dyDescent="0.3">
      <c r="A165" s="1">
        <v>45839</v>
      </c>
      <c r="B165" t="s">
        <v>114</v>
      </c>
      <c r="C165">
        <v>2025</v>
      </c>
      <c r="D165" t="s">
        <v>42</v>
      </c>
      <c r="E165" t="s">
        <v>46</v>
      </c>
      <c r="F165" t="s">
        <v>47</v>
      </c>
      <c r="G165">
        <v>35</v>
      </c>
      <c r="H165" t="s">
        <v>45</v>
      </c>
      <c r="I165" t="s">
        <v>3</v>
      </c>
    </row>
    <row r="166" spans="1:9" hidden="1" x14ac:dyDescent="0.3">
      <c r="A166" s="1">
        <v>45839</v>
      </c>
      <c r="B166" t="s">
        <v>114</v>
      </c>
      <c r="C166">
        <v>2025</v>
      </c>
      <c r="D166" t="s">
        <v>74</v>
      </c>
      <c r="E166" t="s">
        <v>75</v>
      </c>
      <c r="F166" t="s">
        <v>48</v>
      </c>
      <c r="G166">
        <v>2712</v>
      </c>
      <c r="H166" t="s">
        <v>49</v>
      </c>
      <c r="I166" t="s">
        <v>3</v>
      </c>
    </row>
    <row r="167" spans="1:9" hidden="1" x14ac:dyDescent="0.3">
      <c r="A167" s="1">
        <v>45840</v>
      </c>
      <c r="B167" t="s">
        <v>114</v>
      </c>
      <c r="C167">
        <v>2025</v>
      </c>
      <c r="D167" t="s">
        <v>79</v>
      </c>
      <c r="E167" t="s">
        <v>81</v>
      </c>
      <c r="F167" t="s">
        <v>97</v>
      </c>
      <c r="G167">
        <v>800</v>
      </c>
      <c r="H167" t="s">
        <v>49</v>
      </c>
      <c r="I167" t="s">
        <v>9</v>
      </c>
    </row>
    <row r="168" spans="1:9" hidden="1" x14ac:dyDescent="0.3">
      <c r="A168" s="1">
        <v>45841</v>
      </c>
      <c r="B168" t="s">
        <v>114</v>
      </c>
      <c r="C168">
        <v>2025</v>
      </c>
      <c r="D168" t="s">
        <v>4</v>
      </c>
      <c r="E168" t="s">
        <v>5</v>
      </c>
      <c r="F168" t="s">
        <v>68</v>
      </c>
      <c r="G168">
        <v>211</v>
      </c>
      <c r="H168" t="s">
        <v>49</v>
      </c>
      <c r="I168" t="s">
        <v>6</v>
      </c>
    </row>
    <row r="169" spans="1:9" x14ac:dyDescent="0.3">
      <c r="A169" s="1">
        <v>45842</v>
      </c>
      <c r="B169" t="s">
        <v>114</v>
      </c>
      <c r="C169">
        <v>2025</v>
      </c>
      <c r="D169" t="s">
        <v>55</v>
      </c>
      <c r="E169" t="s">
        <v>41</v>
      </c>
      <c r="F169" t="s">
        <v>56</v>
      </c>
      <c r="G169">
        <v>3250</v>
      </c>
      <c r="H169" t="s">
        <v>45</v>
      </c>
      <c r="I169" t="s">
        <v>3</v>
      </c>
    </row>
    <row r="170" spans="1:9" hidden="1" x14ac:dyDescent="0.3">
      <c r="A170" s="1">
        <v>45843</v>
      </c>
      <c r="B170" t="s">
        <v>114</v>
      </c>
      <c r="C170">
        <v>2025</v>
      </c>
      <c r="D170" t="s">
        <v>7</v>
      </c>
      <c r="E170" t="s">
        <v>77</v>
      </c>
      <c r="F170" t="s">
        <v>110</v>
      </c>
      <c r="G170">
        <v>45</v>
      </c>
      <c r="H170" t="s">
        <v>49</v>
      </c>
      <c r="I170" t="s">
        <v>9</v>
      </c>
    </row>
    <row r="171" spans="1:9" hidden="1" x14ac:dyDescent="0.3">
      <c r="A171" s="1">
        <v>45847</v>
      </c>
      <c r="B171" t="s">
        <v>114</v>
      </c>
      <c r="C171">
        <v>2025</v>
      </c>
      <c r="D171" t="s">
        <v>67</v>
      </c>
      <c r="E171" t="s">
        <v>82</v>
      </c>
      <c r="F171" t="s">
        <v>109</v>
      </c>
      <c r="G171">
        <v>0</v>
      </c>
      <c r="H171" t="s">
        <v>49</v>
      </c>
      <c r="I171" t="s">
        <v>9</v>
      </c>
    </row>
    <row r="172" spans="1:9" hidden="1" x14ac:dyDescent="0.3">
      <c r="A172" s="1">
        <v>45847</v>
      </c>
      <c r="B172" t="s">
        <v>114</v>
      </c>
      <c r="C172">
        <v>2025</v>
      </c>
      <c r="D172" t="s">
        <v>96</v>
      </c>
      <c r="E172" t="s">
        <v>96</v>
      </c>
      <c r="F172" t="s">
        <v>129</v>
      </c>
      <c r="G172">
        <v>450</v>
      </c>
      <c r="H172" t="s">
        <v>49</v>
      </c>
      <c r="I172" t="s">
        <v>3</v>
      </c>
    </row>
    <row r="173" spans="1:9" hidden="1" x14ac:dyDescent="0.3">
      <c r="A173" s="1">
        <v>45848</v>
      </c>
      <c r="B173" t="s">
        <v>114</v>
      </c>
      <c r="C173">
        <v>2025</v>
      </c>
      <c r="D173" t="s">
        <v>4</v>
      </c>
      <c r="E173" t="s">
        <v>19</v>
      </c>
      <c r="F173" t="s">
        <v>4</v>
      </c>
      <c r="G173">
        <v>124</v>
      </c>
      <c r="H173" t="s">
        <v>49</v>
      </c>
      <c r="I173" t="s">
        <v>6</v>
      </c>
    </row>
    <row r="174" spans="1:9" hidden="1" x14ac:dyDescent="0.3">
      <c r="A174" s="1">
        <v>45849</v>
      </c>
      <c r="B174" t="s">
        <v>114</v>
      </c>
      <c r="C174">
        <v>2025</v>
      </c>
      <c r="D174" t="s">
        <v>7</v>
      </c>
      <c r="E174" t="s">
        <v>8</v>
      </c>
      <c r="F174" t="s">
        <v>50</v>
      </c>
      <c r="G174">
        <v>230</v>
      </c>
      <c r="H174" t="s">
        <v>49</v>
      </c>
      <c r="I174" t="s">
        <v>9</v>
      </c>
    </row>
    <row r="175" spans="1:9" hidden="1" x14ac:dyDescent="0.3">
      <c r="A175" s="1">
        <v>45849</v>
      </c>
      <c r="B175" t="s">
        <v>114</v>
      </c>
      <c r="C175">
        <v>2025</v>
      </c>
      <c r="D175" t="s">
        <v>100</v>
      </c>
      <c r="E175" t="s">
        <v>16</v>
      </c>
      <c r="F175" t="s">
        <v>63</v>
      </c>
      <c r="G175">
        <v>25</v>
      </c>
      <c r="H175" t="s">
        <v>49</v>
      </c>
      <c r="I175" t="s">
        <v>9</v>
      </c>
    </row>
    <row r="176" spans="1:9" hidden="1" x14ac:dyDescent="0.3">
      <c r="A176" s="1">
        <v>45850</v>
      </c>
      <c r="B176" t="s">
        <v>114</v>
      </c>
      <c r="C176">
        <v>2025</v>
      </c>
      <c r="D176" t="s">
        <v>7</v>
      </c>
      <c r="E176" t="s">
        <v>17</v>
      </c>
      <c r="F176" t="s">
        <v>51</v>
      </c>
      <c r="G176">
        <v>70</v>
      </c>
      <c r="H176" t="s">
        <v>49</v>
      </c>
      <c r="I176" t="s">
        <v>9</v>
      </c>
    </row>
    <row r="177" spans="1:9" hidden="1" x14ac:dyDescent="0.3">
      <c r="A177" s="1">
        <v>45851</v>
      </c>
      <c r="B177" t="s">
        <v>114</v>
      </c>
      <c r="C177">
        <v>2025</v>
      </c>
      <c r="D177" t="s">
        <v>7</v>
      </c>
      <c r="E177" t="s">
        <v>22</v>
      </c>
      <c r="F177" t="s">
        <v>52</v>
      </c>
      <c r="G177">
        <v>35</v>
      </c>
      <c r="H177" t="s">
        <v>49</v>
      </c>
      <c r="I177" t="s">
        <v>9</v>
      </c>
    </row>
    <row r="178" spans="1:9" hidden="1" x14ac:dyDescent="0.3">
      <c r="A178" s="1">
        <v>45853</v>
      </c>
      <c r="B178" t="s">
        <v>114</v>
      </c>
      <c r="C178">
        <v>2025</v>
      </c>
      <c r="D178" t="s">
        <v>79</v>
      </c>
      <c r="E178" t="s">
        <v>23</v>
      </c>
      <c r="F178" t="s">
        <v>53</v>
      </c>
      <c r="G178">
        <v>98</v>
      </c>
      <c r="H178" t="s">
        <v>49</v>
      </c>
      <c r="I178" t="s">
        <v>9</v>
      </c>
    </row>
    <row r="179" spans="1:9" hidden="1" x14ac:dyDescent="0.3">
      <c r="A179" s="1">
        <v>45854</v>
      </c>
      <c r="B179" t="s">
        <v>114</v>
      </c>
      <c r="C179">
        <v>2025</v>
      </c>
      <c r="D179" t="s">
        <v>59</v>
      </c>
      <c r="E179" t="s">
        <v>40</v>
      </c>
      <c r="F179" t="s">
        <v>54</v>
      </c>
      <c r="G179">
        <v>100</v>
      </c>
      <c r="H179" t="s">
        <v>49</v>
      </c>
      <c r="I179" t="s">
        <v>3</v>
      </c>
    </row>
    <row r="180" spans="1:9" hidden="1" x14ac:dyDescent="0.3">
      <c r="A180" s="1">
        <v>45855</v>
      </c>
      <c r="B180" t="s">
        <v>114</v>
      </c>
      <c r="C180">
        <v>2025</v>
      </c>
      <c r="D180" t="s">
        <v>4</v>
      </c>
      <c r="E180" t="s">
        <v>14</v>
      </c>
      <c r="F180" t="s">
        <v>57</v>
      </c>
      <c r="G180">
        <v>248</v>
      </c>
      <c r="H180" t="s">
        <v>49</v>
      </c>
      <c r="I180" t="s">
        <v>6</v>
      </c>
    </row>
    <row r="181" spans="1:9" x14ac:dyDescent="0.3">
      <c r="A181" s="1">
        <v>45856</v>
      </c>
      <c r="B181" t="s">
        <v>114</v>
      </c>
      <c r="C181">
        <v>2025</v>
      </c>
      <c r="D181" t="s">
        <v>55</v>
      </c>
      <c r="E181" t="s">
        <v>41</v>
      </c>
      <c r="F181" t="s">
        <v>56</v>
      </c>
      <c r="G181">
        <v>3250</v>
      </c>
      <c r="H181" t="s">
        <v>45</v>
      </c>
      <c r="I181" t="s">
        <v>3</v>
      </c>
    </row>
    <row r="182" spans="1:9" hidden="1" x14ac:dyDescent="0.3">
      <c r="A182" s="1">
        <v>45856</v>
      </c>
      <c r="B182" t="s">
        <v>114</v>
      </c>
      <c r="C182">
        <v>2025</v>
      </c>
      <c r="D182" t="s">
        <v>12</v>
      </c>
      <c r="E182" t="s">
        <v>108</v>
      </c>
      <c r="F182" t="s">
        <v>58</v>
      </c>
      <c r="G182">
        <v>95</v>
      </c>
      <c r="H182" t="s">
        <v>49</v>
      </c>
      <c r="I182" t="s">
        <v>9</v>
      </c>
    </row>
    <row r="183" spans="1:9" hidden="1" x14ac:dyDescent="0.3">
      <c r="A183" s="1">
        <v>45856</v>
      </c>
      <c r="B183" t="s">
        <v>114</v>
      </c>
      <c r="C183">
        <v>2025</v>
      </c>
      <c r="D183" t="s">
        <v>31</v>
      </c>
      <c r="E183" t="s">
        <v>32</v>
      </c>
      <c r="F183" t="s">
        <v>69</v>
      </c>
      <c r="G183">
        <v>720</v>
      </c>
      <c r="H183" t="s">
        <v>49</v>
      </c>
      <c r="I183" t="s">
        <v>9</v>
      </c>
    </row>
    <row r="184" spans="1:9" hidden="1" x14ac:dyDescent="0.3">
      <c r="A184" s="1">
        <v>45857</v>
      </c>
      <c r="B184" t="s">
        <v>114</v>
      </c>
      <c r="C184">
        <v>2025</v>
      </c>
      <c r="D184" t="s">
        <v>59</v>
      </c>
      <c r="E184" t="s">
        <v>60</v>
      </c>
      <c r="F184" t="s">
        <v>61</v>
      </c>
      <c r="G184">
        <v>50</v>
      </c>
      <c r="H184" t="s">
        <v>49</v>
      </c>
      <c r="I184" t="s">
        <v>6</v>
      </c>
    </row>
    <row r="185" spans="1:9" hidden="1" x14ac:dyDescent="0.3">
      <c r="A185" s="1">
        <v>45858</v>
      </c>
      <c r="B185" t="s">
        <v>114</v>
      </c>
      <c r="C185">
        <v>2025</v>
      </c>
      <c r="D185" t="s">
        <v>10</v>
      </c>
      <c r="E185" t="s">
        <v>11</v>
      </c>
      <c r="F185" t="s">
        <v>62</v>
      </c>
      <c r="G185">
        <v>15</v>
      </c>
      <c r="H185" t="s">
        <v>49</v>
      </c>
      <c r="I185" t="s">
        <v>9</v>
      </c>
    </row>
    <row r="186" spans="1:9" hidden="1" x14ac:dyDescent="0.3">
      <c r="A186" s="1">
        <v>45859</v>
      </c>
      <c r="B186" t="s">
        <v>114</v>
      </c>
      <c r="C186">
        <v>2025</v>
      </c>
      <c r="D186" t="s">
        <v>79</v>
      </c>
      <c r="E186" t="s">
        <v>76</v>
      </c>
      <c r="F186" t="s">
        <v>80</v>
      </c>
      <c r="G186">
        <v>85</v>
      </c>
      <c r="H186" t="s">
        <v>49</v>
      </c>
      <c r="I186" t="s">
        <v>9</v>
      </c>
    </row>
    <row r="187" spans="1:9" hidden="1" x14ac:dyDescent="0.3">
      <c r="A187" s="1">
        <v>45859</v>
      </c>
      <c r="B187" t="s">
        <v>114</v>
      </c>
      <c r="C187">
        <v>2025</v>
      </c>
      <c r="D187" t="s">
        <v>10</v>
      </c>
      <c r="E187" t="s">
        <v>24</v>
      </c>
      <c r="F187" t="s">
        <v>62</v>
      </c>
      <c r="G187">
        <v>15</v>
      </c>
      <c r="H187" t="s">
        <v>49</v>
      </c>
      <c r="I187" t="s">
        <v>9</v>
      </c>
    </row>
    <row r="188" spans="1:9" hidden="1" x14ac:dyDescent="0.3">
      <c r="A188" s="1">
        <v>45860</v>
      </c>
      <c r="B188" t="s">
        <v>114</v>
      </c>
      <c r="C188">
        <v>2025</v>
      </c>
      <c r="D188" t="s">
        <v>113</v>
      </c>
      <c r="E188" t="s">
        <v>5</v>
      </c>
      <c r="F188" t="s">
        <v>113</v>
      </c>
      <c r="G188">
        <v>70</v>
      </c>
      <c r="H188" t="s">
        <v>49</v>
      </c>
      <c r="I188" t="s">
        <v>9</v>
      </c>
    </row>
    <row r="189" spans="1:9" hidden="1" x14ac:dyDescent="0.3">
      <c r="A189" s="1">
        <v>45860</v>
      </c>
      <c r="B189" t="s">
        <v>114</v>
      </c>
      <c r="C189">
        <v>2025</v>
      </c>
      <c r="D189" t="s">
        <v>10</v>
      </c>
      <c r="E189" t="s">
        <v>25</v>
      </c>
      <c r="F189" t="s">
        <v>62</v>
      </c>
      <c r="G189">
        <v>12</v>
      </c>
      <c r="H189" t="s">
        <v>49</v>
      </c>
      <c r="I189" t="s">
        <v>9</v>
      </c>
    </row>
    <row r="190" spans="1:9" hidden="1" x14ac:dyDescent="0.3">
      <c r="A190" s="1">
        <v>45862</v>
      </c>
      <c r="B190" t="s">
        <v>114</v>
      </c>
      <c r="C190">
        <v>2025</v>
      </c>
      <c r="D190" t="s">
        <v>4</v>
      </c>
      <c r="E190" t="s">
        <v>20</v>
      </c>
      <c r="F190" t="s">
        <v>64</v>
      </c>
      <c r="G190">
        <v>87</v>
      </c>
      <c r="H190" t="s">
        <v>49</v>
      </c>
      <c r="I190" t="s">
        <v>21</v>
      </c>
    </row>
    <row r="191" spans="1:9" hidden="1" x14ac:dyDescent="0.3">
      <c r="A191" s="1">
        <v>45863</v>
      </c>
      <c r="B191" t="s">
        <v>114</v>
      </c>
      <c r="C191">
        <v>2025</v>
      </c>
      <c r="D191" t="s">
        <v>86</v>
      </c>
      <c r="E191" t="s">
        <v>87</v>
      </c>
      <c r="F191" t="s">
        <v>65</v>
      </c>
      <c r="G191">
        <v>60</v>
      </c>
      <c r="H191" t="s">
        <v>49</v>
      </c>
      <c r="I191" t="s">
        <v>27</v>
      </c>
    </row>
    <row r="192" spans="1:9" hidden="1" x14ac:dyDescent="0.3">
      <c r="A192" s="1">
        <v>45864</v>
      </c>
      <c r="B192" t="s">
        <v>114</v>
      </c>
      <c r="C192">
        <v>2025</v>
      </c>
      <c r="D192" t="s">
        <v>12</v>
      </c>
      <c r="E192" t="s">
        <v>108</v>
      </c>
      <c r="F192" t="s">
        <v>66</v>
      </c>
      <c r="G192">
        <v>60</v>
      </c>
      <c r="H192" t="s">
        <v>49</v>
      </c>
      <c r="I192" t="s">
        <v>9</v>
      </c>
    </row>
    <row r="193" spans="1:9" hidden="1" x14ac:dyDescent="0.3">
      <c r="A193" s="1">
        <v>45865</v>
      </c>
      <c r="B193" t="s">
        <v>114</v>
      </c>
      <c r="C193">
        <v>2025</v>
      </c>
      <c r="D193" t="s">
        <v>67</v>
      </c>
      <c r="E193" t="s">
        <v>15</v>
      </c>
      <c r="F193" t="s">
        <v>67</v>
      </c>
      <c r="G193">
        <v>40</v>
      </c>
      <c r="H193" t="s">
        <v>49</v>
      </c>
      <c r="I193" t="s">
        <v>9</v>
      </c>
    </row>
    <row r="194" spans="1:9" hidden="1" x14ac:dyDescent="0.3">
      <c r="A194" s="1">
        <v>45870</v>
      </c>
      <c r="B194" t="s">
        <v>115</v>
      </c>
      <c r="C194">
        <v>2025</v>
      </c>
      <c r="D194" t="s">
        <v>67</v>
      </c>
      <c r="E194" t="s">
        <v>82</v>
      </c>
      <c r="F194" t="s">
        <v>67</v>
      </c>
      <c r="G194">
        <v>250</v>
      </c>
      <c r="H194" t="s">
        <v>49</v>
      </c>
      <c r="I194" t="s">
        <v>9</v>
      </c>
    </row>
    <row r="195" spans="1:9" x14ac:dyDescent="0.3">
      <c r="A195" s="1">
        <v>45870</v>
      </c>
      <c r="B195" t="s">
        <v>115</v>
      </c>
      <c r="C195">
        <v>2025</v>
      </c>
      <c r="D195" t="s">
        <v>55</v>
      </c>
      <c r="E195" t="s">
        <v>41</v>
      </c>
      <c r="F195" t="s">
        <v>56</v>
      </c>
      <c r="G195">
        <v>3250</v>
      </c>
      <c r="H195" t="s">
        <v>45</v>
      </c>
      <c r="I195" t="s">
        <v>3</v>
      </c>
    </row>
    <row r="196" spans="1:9" x14ac:dyDescent="0.3">
      <c r="A196" s="1">
        <v>45870</v>
      </c>
      <c r="B196" t="s">
        <v>115</v>
      </c>
      <c r="C196">
        <v>2025</v>
      </c>
      <c r="D196" t="s">
        <v>42</v>
      </c>
      <c r="E196" t="s">
        <v>46</v>
      </c>
      <c r="F196" t="s">
        <v>47</v>
      </c>
      <c r="G196">
        <v>40</v>
      </c>
      <c r="H196" t="s">
        <v>45</v>
      </c>
      <c r="I196" t="s">
        <v>3</v>
      </c>
    </row>
    <row r="197" spans="1:9" hidden="1" x14ac:dyDescent="0.3">
      <c r="A197" s="1">
        <v>45870</v>
      </c>
      <c r="B197" t="s">
        <v>115</v>
      </c>
      <c r="C197">
        <v>2025</v>
      </c>
      <c r="D197" t="s">
        <v>74</v>
      </c>
      <c r="E197" t="s">
        <v>75</v>
      </c>
      <c r="F197" t="s">
        <v>48</v>
      </c>
      <c r="G197">
        <v>2712</v>
      </c>
      <c r="H197" t="s">
        <v>49</v>
      </c>
      <c r="I197" t="s">
        <v>3</v>
      </c>
    </row>
    <row r="198" spans="1:9" hidden="1" x14ac:dyDescent="0.3">
      <c r="A198" s="1">
        <v>45871</v>
      </c>
      <c r="B198" t="s">
        <v>115</v>
      </c>
      <c r="C198">
        <v>2025</v>
      </c>
      <c r="D198" t="s">
        <v>100</v>
      </c>
      <c r="E198" t="s">
        <v>16</v>
      </c>
      <c r="F198" t="s">
        <v>63</v>
      </c>
      <c r="G198">
        <v>15</v>
      </c>
      <c r="H198" t="s">
        <v>49</v>
      </c>
      <c r="I198" t="s">
        <v>9</v>
      </c>
    </row>
    <row r="199" spans="1:9" hidden="1" x14ac:dyDescent="0.3">
      <c r="A199" s="1">
        <v>45871</v>
      </c>
      <c r="B199" t="s">
        <v>115</v>
      </c>
      <c r="C199">
        <v>2025</v>
      </c>
      <c r="D199" t="s">
        <v>7</v>
      </c>
      <c r="E199" t="s">
        <v>77</v>
      </c>
      <c r="F199" t="s">
        <v>110</v>
      </c>
      <c r="G199">
        <v>45</v>
      </c>
      <c r="H199" t="s">
        <v>49</v>
      </c>
      <c r="I199" t="s">
        <v>9</v>
      </c>
    </row>
    <row r="200" spans="1:9" hidden="1" x14ac:dyDescent="0.3">
      <c r="A200" s="1">
        <v>45872</v>
      </c>
      <c r="B200" t="s">
        <v>115</v>
      </c>
      <c r="C200">
        <v>2025</v>
      </c>
      <c r="D200" t="s">
        <v>4</v>
      </c>
      <c r="E200" t="s">
        <v>5</v>
      </c>
      <c r="F200" t="s">
        <v>68</v>
      </c>
      <c r="G200">
        <v>214</v>
      </c>
      <c r="H200" t="s">
        <v>49</v>
      </c>
      <c r="I200" t="s">
        <v>6</v>
      </c>
    </row>
    <row r="201" spans="1:9" hidden="1" x14ac:dyDescent="0.3">
      <c r="A201" s="1">
        <v>45879</v>
      </c>
      <c r="B201" t="s">
        <v>115</v>
      </c>
      <c r="C201">
        <v>2025</v>
      </c>
      <c r="D201" t="s">
        <v>4</v>
      </c>
      <c r="E201" t="s">
        <v>19</v>
      </c>
      <c r="F201" t="s">
        <v>4</v>
      </c>
      <c r="G201">
        <v>126</v>
      </c>
      <c r="H201" t="s">
        <v>49</v>
      </c>
      <c r="I201" t="s">
        <v>6</v>
      </c>
    </row>
    <row r="202" spans="1:9" hidden="1" x14ac:dyDescent="0.3">
      <c r="A202" s="1">
        <v>45880</v>
      </c>
      <c r="B202" t="s">
        <v>115</v>
      </c>
      <c r="C202">
        <v>2025</v>
      </c>
      <c r="D202" t="s">
        <v>113</v>
      </c>
      <c r="E202" t="s">
        <v>5</v>
      </c>
      <c r="F202" t="s">
        <v>113</v>
      </c>
      <c r="G202">
        <v>45</v>
      </c>
      <c r="H202" t="s">
        <v>49</v>
      </c>
      <c r="I202" t="s">
        <v>9</v>
      </c>
    </row>
    <row r="203" spans="1:9" hidden="1" x14ac:dyDescent="0.3">
      <c r="A203" s="1">
        <v>45880</v>
      </c>
      <c r="B203" t="s">
        <v>115</v>
      </c>
      <c r="C203">
        <v>2025</v>
      </c>
      <c r="D203" t="s">
        <v>7</v>
      </c>
      <c r="E203" t="s">
        <v>8</v>
      </c>
      <c r="F203" t="s">
        <v>50</v>
      </c>
      <c r="G203">
        <v>222</v>
      </c>
      <c r="H203" t="s">
        <v>49</v>
      </c>
      <c r="I203" t="s">
        <v>9</v>
      </c>
    </row>
    <row r="204" spans="1:9" hidden="1" x14ac:dyDescent="0.3">
      <c r="A204" s="1">
        <v>45881</v>
      </c>
      <c r="B204" t="s">
        <v>115</v>
      </c>
      <c r="C204">
        <v>2025</v>
      </c>
      <c r="D204" t="s">
        <v>7</v>
      </c>
      <c r="E204" t="s">
        <v>17</v>
      </c>
      <c r="F204" t="s">
        <v>51</v>
      </c>
      <c r="G204">
        <v>70</v>
      </c>
      <c r="H204" t="s">
        <v>49</v>
      </c>
      <c r="I204" t="s">
        <v>9</v>
      </c>
    </row>
    <row r="205" spans="1:9" hidden="1" x14ac:dyDescent="0.3">
      <c r="A205" s="1">
        <v>45882</v>
      </c>
      <c r="B205" t="s">
        <v>115</v>
      </c>
      <c r="C205">
        <v>2025</v>
      </c>
      <c r="D205" t="s">
        <v>7</v>
      </c>
      <c r="E205" t="s">
        <v>22</v>
      </c>
      <c r="F205" t="s">
        <v>52</v>
      </c>
      <c r="G205">
        <v>20</v>
      </c>
      <c r="H205" t="s">
        <v>49</v>
      </c>
      <c r="I205" t="s">
        <v>9</v>
      </c>
    </row>
    <row r="206" spans="1:9" hidden="1" x14ac:dyDescent="0.3">
      <c r="A206" s="1">
        <v>45884</v>
      </c>
      <c r="B206" t="s">
        <v>115</v>
      </c>
      <c r="C206">
        <v>2025</v>
      </c>
      <c r="D206" t="s">
        <v>79</v>
      </c>
      <c r="E206" t="s">
        <v>76</v>
      </c>
      <c r="F206" t="s">
        <v>80</v>
      </c>
      <c r="G206">
        <v>75</v>
      </c>
      <c r="H206" t="s">
        <v>49</v>
      </c>
      <c r="I206" t="s">
        <v>9</v>
      </c>
    </row>
    <row r="207" spans="1:9" x14ac:dyDescent="0.3">
      <c r="A207" s="1">
        <v>45884</v>
      </c>
      <c r="B207" t="s">
        <v>115</v>
      </c>
      <c r="C207">
        <v>2025</v>
      </c>
      <c r="D207" t="s">
        <v>55</v>
      </c>
      <c r="E207" t="s">
        <v>41</v>
      </c>
      <c r="F207" t="s">
        <v>56</v>
      </c>
      <c r="G207">
        <v>3250</v>
      </c>
      <c r="H207" t="s">
        <v>45</v>
      </c>
      <c r="I207" t="s">
        <v>3</v>
      </c>
    </row>
    <row r="208" spans="1:9" hidden="1" x14ac:dyDescent="0.3">
      <c r="A208" s="1">
        <v>45884</v>
      </c>
      <c r="B208" t="s">
        <v>115</v>
      </c>
      <c r="C208">
        <v>2025</v>
      </c>
      <c r="D208" t="s">
        <v>79</v>
      </c>
      <c r="E208" t="s">
        <v>23</v>
      </c>
      <c r="F208" t="s">
        <v>53</v>
      </c>
      <c r="G208">
        <v>85</v>
      </c>
      <c r="H208" t="s">
        <v>49</v>
      </c>
      <c r="I208" t="s">
        <v>9</v>
      </c>
    </row>
    <row r="209" spans="1:9" hidden="1" x14ac:dyDescent="0.3">
      <c r="A209" s="1">
        <v>45885</v>
      </c>
      <c r="B209" t="s">
        <v>115</v>
      </c>
      <c r="C209">
        <v>2025</v>
      </c>
      <c r="D209" t="s">
        <v>59</v>
      </c>
      <c r="E209" t="s">
        <v>40</v>
      </c>
      <c r="F209" t="s">
        <v>54</v>
      </c>
      <c r="G209">
        <v>100</v>
      </c>
      <c r="H209" t="s">
        <v>49</v>
      </c>
      <c r="I209" t="s">
        <v>3</v>
      </c>
    </row>
    <row r="210" spans="1:9" hidden="1" x14ac:dyDescent="0.3">
      <c r="A210" s="1">
        <v>45886</v>
      </c>
      <c r="B210" t="s">
        <v>115</v>
      </c>
      <c r="C210">
        <v>2025</v>
      </c>
      <c r="D210" t="s">
        <v>4</v>
      </c>
      <c r="E210" t="s">
        <v>14</v>
      </c>
      <c r="F210" t="s">
        <v>57</v>
      </c>
      <c r="G210">
        <v>252</v>
      </c>
      <c r="H210" t="s">
        <v>49</v>
      </c>
      <c r="I210" t="s">
        <v>6</v>
      </c>
    </row>
    <row r="211" spans="1:9" hidden="1" x14ac:dyDescent="0.3">
      <c r="A211" s="1">
        <v>45887</v>
      </c>
      <c r="B211" t="s">
        <v>115</v>
      </c>
      <c r="C211">
        <v>2025</v>
      </c>
      <c r="D211" t="s">
        <v>12</v>
      </c>
      <c r="E211" t="s">
        <v>108</v>
      </c>
      <c r="F211" t="s">
        <v>58</v>
      </c>
      <c r="G211">
        <v>100</v>
      </c>
      <c r="H211" t="s">
        <v>49</v>
      </c>
      <c r="I211" t="s">
        <v>9</v>
      </c>
    </row>
    <row r="212" spans="1:9" hidden="1" x14ac:dyDescent="0.3">
      <c r="A212" s="1">
        <v>45888</v>
      </c>
      <c r="B212" t="s">
        <v>115</v>
      </c>
      <c r="C212">
        <v>2025</v>
      </c>
      <c r="D212" t="s">
        <v>59</v>
      </c>
      <c r="E212" t="s">
        <v>60</v>
      </c>
      <c r="F212" t="s">
        <v>61</v>
      </c>
      <c r="G212">
        <v>50</v>
      </c>
      <c r="H212" t="s">
        <v>49</v>
      </c>
      <c r="I212" t="s">
        <v>6</v>
      </c>
    </row>
    <row r="213" spans="1:9" hidden="1" x14ac:dyDescent="0.3">
      <c r="A213" s="1">
        <v>45889</v>
      </c>
      <c r="B213" t="s">
        <v>115</v>
      </c>
      <c r="C213">
        <v>2025</v>
      </c>
      <c r="D213" t="s">
        <v>10</v>
      </c>
      <c r="E213" t="s">
        <v>11</v>
      </c>
      <c r="F213" t="s">
        <v>62</v>
      </c>
      <c r="G213">
        <v>15</v>
      </c>
      <c r="H213" t="s">
        <v>49</v>
      </c>
      <c r="I213" t="s">
        <v>9</v>
      </c>
    </row>
    <row r="214" spans="1:9" hidden="1" x14ac:dyDescent="0.3">
      <c r="A214" s="1">
        <v>45890</v>
      </c>
      <c r="B214" t="s">
        <v>115</v>
      </c>
      <c r="C214">
        <v>2025</v>
      </c>
      <c r="D214" t="s">
        <v>10</v>
      </c>
      <c r="E214" t="s">
        <v>24</v>
      </c>
      <c r="F214" t="s">
        <v>62</v>
      </c>
      <c r="G214">
        <v>15</v>
      </c>
      <c r="H214" t="s">
        <v>49</v>
      </c>
      <c r="I214" t="s">
        <v>9</v>
      </c>
    </row>
    <row r="215" spans="1:9" hidden="1" x14ac:dyDescent="0.3">
      <c r="A215" s="1">
        <v>45891</v>
      </c>
      <c r="B215" t="s">
        <v>115</v>
      </c>
      <c r="C215">
        <v>2025</v>
      </c>
      <c r="D215" t="s">
        <v>10</v>
      </c>
      <c r="E215" t="s">
        <v>25</v>
      </c>
      <c r="F215" t="s">
        <v>62</v>
      </c>
      <c r="G215">
        <v>12</v>
      </c>
      <c r="H215" t="s">
        <v>49</v>
      </c>
      <c r="I215" t="s">
        <v>9</v>
      </c>
    </row>
    <row r="216" spans="1:9" hidden="1" x14ac:dyDescent="0.3">
      <c r="A216" s="1">
        <v>45893</v>
      </c>
      <c r="B216" t="s">
        <v>115</v>
      </c>
      <c r="C216">
        <v>2025</v>
      </c>
      <c r="D216" t="s">
        <v>4</v>
      </c>
      <c r="E216" t="s">
        <v>20</v>
      </c>
      <c r="F216" t="s">
        <v>64</v>
      </c>
      <c r="G216">
        <v>88</v>
      </c>
      <c r="H216" t="s">
        <v>49</v>
      </c>
      <c r="I216" t="s">
        <v>21</v>
      </c>
    </row>
    <row r="217" spans="1:9" hidden="1" x14ac:dyDescent="0.3">
      <c r="A217" s="1">
        <v>45895</v>
      </c>
      <c r="B217" t="s">
        <v>115</v>
      </c>
      <c r="C217">
        <v>2025</v>
      </c>
      <c r="D217" t="s">
        <v>12</v>
      </c>
      <c r="E217" t="s">
        <v>108</v>
      </c>
      <c r="F217" t="s">
        <v>66</v>
      </c>
      <c r="G217">
        <v>45</v>
      </c>
      <c r="H217" t="s">
        <v>49</v>
      </c>
      <c r="I217" t="s">
        <v>9</v>
      </c>
    </row>
    <row r="218" spans="1:9" hidden="1" x14ac:dyDescent="0.3">
      <c r="A218" s="1">
        <v>45896</v>
      </c>
      <c r="B218" t="s">
        <v>115</v>
      </c>
      <c r="C218">
        <v>2025</v>
      </c>
      <c r="D218" t="s">
        <v>67</v>
      </c>
      <c r="E218" t="s">
        <v>15</v>
      </c>
      <c r="F218" t="s">
        <v>67</v>
      </c>
      <c r="G218">
        <v>35</v>
      </c>
      <c r="H218" t="s">
        <v>49</v>
      </c>
      <c r="I218" t="s">
        <v>9</v>
      </c>
    </row>
    <row r="219" spans="1:9" x14ac:dyDescent="0.3">
      <c r="A219" s="1">
        <v>45898</v>
      </c>
      <c r="B219" t="s">
        <v>115</v>
      </c>
      <c r="C219">
        <v>2025</v>
      </c>
      <c r="D219" t="s">
        <v>55</v>
      </c>
      <c r="E219" t="s">
        <v>41</v>
      </c>
      <c r="F219" t="s">
        <v>56</v>
      </c>
      <c r="G219">
        <v>3250</v>
      </c>
      <c r="H219" t="s">
        <v>45</v>
      </c>
      <c r="I219" t="s">
        <v>3</v>
      </c>
    </row>
    <row r="220" spans="1:9" hidden="1" x14ac:dyDescent="0.3">
      <c r="A220" s="1">
        <v>45901</v>
      </c>
      <c r="B220" t="s">
        <v>116</v>
      </c>
      <c r="C220">
        <v>2025</v>
      </c>
      <c r="D220" t="s">
        <v>67</v>
      </c>
      <c r="E220" t="s">
        <v>82</v>
      </c>
      <c r="F220" t="s">
        <v>67</v>
      </c>
      <c r="G220">
        <v>250</v>
      </c>
      <c r="H220" t="s">
        <v>49</v>
      </c>
      <c r="I220" t="s">
        <v>9</v>
      </c>
    </row>
    <row r="221" spans="1:9" x14ac:dyDescent="0.3">
      <c r="A221" s="1">
        <v>45901</v>
      </c>
      <c r="B221" t="s">
        <v>116</v>
      </c>
      <c r="C221">
        <v>2025</v>
      </c>
      <c r="D221" t="s">
        <v>42</v>
      </c>
      <c r="E221" t="s">
        <v>46</v>
      </c>
      <c r="F221" t="s">
        <v>47</v>
      </c>
      <c r="G221">
        <v>40</v>
      </c>
      <c r="H221" t="s">
        <v>45</v>
      </c>
      <c r="I221" t="s">
        <v>3</v>
      </c>
    </row>
    <row r="222" spans="1:9" hidden="1" x14ac:dyDescent="0.3">
      <c r="A222" s="1">
        <v>45901</v>
      </c>
      <c r="B222" t="s">
        <v>116</v>
      </c>
      <c r="C222">
        <v>2025</v>
      </c>
      <c r="D222" t="s">
        <v>74</v>
      </c>
      <c r="E222" t="s">
        <v>75</v>
      </c>
      <c r="F222" t="s">
        <v>48</v>
      </c>
      <c r="G222">
        <v>2712</v>
      </c>
      <c r="H222" t="s">
        <v>49</v>
      </c>
      <c r="I222" t="s">
        <v>3</v>
      </c>
    </row>
    <row r="223" spans="1:9" hidden="1" x14ac:dyDescent="0.3">
      <c r="A223" s="1">
        <v>45905</v>
      </c>
      <c r="B223" t="s">
        <v>116</v>
      </c>
      <c r="C223">
        <v>2025</v>
      </c>
      <c r="D223" t="s">
        <v>96</v>
      </c>
      <c r="E223" t="s">
        <v>96</v>
      </c>
      <c r="F223" t="s">
        <v>130</v>
      </c>
      <c r="G223">
        <v>390</v>
      </c>
      <c r="H223" t="s">
        <v>49</v>
      </c>
      <c r="I223" t="s">
        <v>3</v>
      </c>
    </row>
    <row r="224" spans="1:9" hidden="1" x14ac:dyDescent="0.3">
      <c r="A224" s="1">
        <v>45902</v>
      </c>
      <c r="B224" t="s">
        <v>116</v>
      </c>
      <c r="C224">
        <v>2025</v>
      </c>
      <c r="D224" t="s">
        <v>79</v>
      </c>
      <c r="E224" t="s">
        <v>76</v>
      </c>
      <c r="F224" t="s">
        <v>80</v>
      </c>
      <c r="G224">
        <v>35</v>
      </c>
      <c r="H224" t="s">
        <v>49</v>
      </c>
      <c r="I224" t="s">
        <v>9</v>
      </c>
    </row>
    <row r="225" spans="1:9" hidden="1" x14ac:dyDescent="0.3">
      <c r="A225" s="1">
        <v>45902</v>
      </c>
      <c r="B225" t="s">
        <v>116</v>
      </c>
      <c r="C225">
        <v>2025</v>
      </c>
      <c r="D225" t="s">
        <v>7</v>
      </c>
      <c r="E225" t="s">
        <v>77</v>
      </c>
      <c r="F225" t="s">
        <v>110</v>
      </c>
      <c r="G225">
        <v>44</v>
      </c>
      <c r="H225" t="s">
        <v>49</v>
      </c>
      <c r="I225" t="s">
        <v>9</v>
      </c>
    </row>
    <row r="226" spans="1:9" hidden="1" x14ac:dyDescent="0.3">
      <c r="A226" s="1">
        <v>45903</v>
      </c>
      <c r="B226" t="s">
        <v>116</v>
      </c>
      <c r="C226">
        <v>2025</v>
      </c>
      <c r="D226" t="s">
        <v>4</v>
      </c>
      <c r="E226" t="s">
        <v>5</v>
      </c>
      <c r="F226" t="s">
        <v>68</v>
      </c>
      <c r="G226">
        <v>217</v>
      </c>
      <c r="H226" t="s">
        <v>49</v>
      </c>
      <c r="I226" t="s">
        <v>6</v>
      </c>
    </row>
    <row r="227" spans="1:9" hidden="1" x14ac:dyDescent="0.3">
      <c r="A227" s="1">
        <v>45910</v>
      </c>
      <c r="B227" t="s">
        <v>116</v>
      </c>
      <c r="C227">
        <v>2025</v>
      </c>
      <c r="D227" t="s">
        <v>4</v>
      </c>
      <c r="E227" t="s">
        <v>19</v>
      </c>
      <c r="F227" t="s">
        <v>4</v>
      </c>
      <c r="G227">
        <v>128</v>
      </c>
      <c r="H227" t="s">
        <v>49</v>
      </c>
      <c r="I227" t="s">
        <v>6</v>
      </c>
    </row>
    <row r="228" spans="1:9" hidden="1" x14ac:dyDescent="0.3">
      <c r="A228" s="1">
        <v>45911</v>
      </c>
      <c r="B228" t="s">
        <v>116</v>
      </c>
      <c r="C228">
        <v>2025</v>
      </c>
      <c r="D228" t="s">
        <v>7</v>
      </c>
      <c r="E228" t="s">
        <v>8</v>
      </c>
      <c r="F228" t="s">
        <v>50</v>
      </c>
      <c r="G228">
        <v>165</v>
      </c>
      <c r="H228" t="s">
        <v>49</v>
      </c>
      <c r="I228" t="s">
        <v>9</v>
      </c>
    </row>
    <row r="229" spans="1:9" hidden="1" x14ac:dyDescent="0.3">
      <c r="A229" s="1">
        <v>45912</v>
      </c>
      <c r="B229" t="s">
        <v>116</v>
      </c>
      <c r="C229">
        <v>2025</v>
      </c>
      <c r="D229" t="s">
        <v>67</v>
      </c>
      <c r="E229" t="s">
        <v>98</v>
      </c>
      <c r="F229" t="s">
        <v>107</v>
      </c>
      <c r="G229">
        <v>145</v>
      </c>
      <c r="H229" t="s">
        <v>49</v>
      </c>
      <c r="I229" t="s">
        <v>9</v>
      </c>
    </row>
    <row r="230" spans="1:9" x14ac:dyDescent="0.3">
      <c r="A230" s="1">
        <v>45912</v>
      </c>
      <c r="B230" t="s">
        <v>116</v>
      </c>
      <c r="C230">
        <v>2025</v>
      </c>
      <c r="D230" t="s">
        <v>55</v>
      </c>
      <c r="E230" t="s">
        <v>41</v>
      </c>
      <c r="F230" t="s">
        <v>56</v>
      </c>
      <c r="G230">
        <v>3250</v>
      </c>
      <c r="H230" t="s">
        <v>45</v>
      </c>
      <c r="I230" t="s">
        <v>3</v>
      </c>
    </row>
    <row r="231" spans="1:9" hidden="1" x14ac:dyDescent="0.3">
      <c r="A231" s="1">
        <v>45912</v>
      </c>
      <c r="B231" t="s">
        <v>116</v>
      </c>
      <c r="C231">
        <v>2025</v>
      </c>
      <c r="D231" t="s">
        <v>7</v>
      </c>
      <c r="E231" t="s">
        <v>17</v>
      </c>
      <c r="F231" t="s">
        <v>51</v>
      </c>
      <c r="G231">
        <v>60</v>
      </c>
      <c r="H231" t="s">
        <v>49</v>
      </c>
      <c r="I231" t="s">
        <v>9</v>
      </c>
    </row>
    <row r="232" spans="1:9" hidden="1" x14ac:dyDescent="0.3">
      <c r="A232" s="1">
        <v>45913</v>
      </c>
      <c r="B232" t="s">
        <v>116</v>
      </c>
      <c r="C232">
        <v>2025</v>
      </c>
      <c r="D232" t="s">
        <v>7</v>
      </c>
      <c r="E232" t="s">
        <v>22</v>
      </c>
      <c r="F232" t="s">
        <v>52</v>
      </c>
      <c r="G232">
        <v>25</v>
      </c>
      <c r="H232" t="s">
        <v>49</v>
      </c>
      <c r="I232" t="s">
        <v>9</v>
      </c>
    </row>
    <row r="233" spans="1:9" hidden="1" x14ac:dyDescent="0.3">
      <c r="A233" s="1">
        <v>45915</v>
      </c>
      <c r="B233" t="s">
        <v>116</v>
      </c>
      <c r="C233">
        <v>2025</v>
      </c>
      <c r="D233" t="s">
        <v>79</v>
      </c>
      <c r="E233" t="s">
        <v>23</v>
      </c>
      <c r="F233" t="s">
        <v>53</v>
      </c>
      <c r="G233">
        <v>40</v>
      </c>
      <c r="H233" t="s">
        <v>49</v>
      </c>
      <c r="I233" t="s">
        <v>9</v>
      </c>
    </row>
    <row r="234" spans="1:9" hidden="1" x14ac:dyDescent="0.3">
      <c r="A234" s="1">
        <v>45916</v>
      </c>
      <c r="B234" t="s">
        <v>116</v>
      </c>
      <c r="C234">
        <v>2025</v>
      </c>
      <c r="D234" t="s">
        <v>59</v>
      </c>
      <c r="E234" t="s">
        <v>40</v>
      </c>
      <c r="F234" t="s">
        <v>54</v>
      </c>
      <c r="G234">
        <v>100</v>
      </c>
      <c r="H234" t="s">
        <v>49</v>
      </c>
      <c r="I234" t="s">
        <v>3</v>
      </c>
    </row>
    <row r="235" spans="1:9" hidden="1" x14ac:dyDescent="0.3">
      <c r="A235" s="1">
        <v>45917</v>
      </c>
      <c r="B235" t="s">
        <v>116</v>
      </c>
      <c r="C235">
        <v>2025</v>
      </c>
      <c r="D235" t="s">
        <v>4</v>
      </c>
      <c r="E235" t="s">
        <v>14</v>
      </c>
      <c r="F235" t="s">
        <v>57</v>
      </c>
      <c r="G235">
        <v>256</v>
      </c>
      <c r="H235" t="s">
        <v>49</v>
      </c>
      <c r="I235" t="s">
        <v>6</v>
      </c>
    </row>
    <row r="236" spans="1:9" hidden="1" x14ac:dyDescent="0.3">
      <c r="A236" s="1">
        <v>45918</v>
      </c>
      <c r="B236" t="s">
        <v>116</v>
      </c>
      <c r="C236">
        <v>2025</v>
      </c>
      <c r="D236" t="s">
        <v>12</v>
      </c>
      <c r="E236" t="s">
        <v>108</v>
      </c>
      <c r="F236" t="s">
        <v>58</v>
      </c>
      <c r="G236">
        <v>105</v>
      </c>
      <c r="H236" t="s">
        <v>49</v>
      </c>
      <c r="I236" t="s">
        <v>9</v>
      </c>
    </row>
    <row r="237" spans="1:9" hidden="1" x14ac:dyDescent="0.3">
      <c r="A237" s="1">
        <v>45919</v>
      </c>
      <c r="B237" t="s">
        <v>116</v>
      </c>
      <c r="C237">
        <v>2025</v>
      </c>
      <c r="D237" t="s">
        <v>59</v>
      </c>
      <c r="E237" t="s">
        <v>60</v>
      </c>
      <c r="F237" t="s">
        <v>61</v>
      </c>
      <c r="G237">
        <v>50</v>
      </c>
      <c r="H237" t="s">
        <v>49</v>
      </c>
      <c r="I237" t="s">
        <v>6</v>
      </c>
    </row>
    <row r="238" spans="1:9" hidden="1" x14ac:dyDescent="0.3">
      <c r="A238" s="1">
        <v>45920</v>
      </c>
      <c r="B238" t="s">
        <v>116</v>
      </c>
      <c r="C238">
        <v>2025</v>
      </c>
      <c r="D238" t="s">
        <v>10</v>
      </c>
      <c r="E238" t="s">
        <v>11</v>
      </c>
      <c r="F238" t="s">
        <v>62</v>
      </c>
      <c r="G238">
        <v>15</v>
      </c>
      <c r="H238" t="s">
        <v>49</v>
      </c>
      <c r="I238" t="s">
        <v>9</v>
      </c>
    </row>
    <row r="239" spans="1:9" hidden="1" x14ac:dyDescent="0.3">
      <c r="A239" s="1">
        <v>45921</v>
      </c>
      <c r="B239" t="s">
        <v>116</v>
      </c>
      <c r="C239">
        <v>2025</v>
      </c>
      <c r="D239" t="s">
        <v>10</v>
      </c>
      <c r="E239" t="s">
        <v>24</v>
      </c>
      <c r="F239" t="s">
        <v>62</v>
      </c>
      <c r="G239">
        <v>15</v>
      </c>
      <c r="H239" t="s">
        <v>49</v>
      </c>
      <c r="I239" t="s">
        <v>9</v>
      </c>
    </row>
    <row r="240" spans="1:9" hidden="1" x14ac:dyDescent="0.3">
      <c r="A240" s="1">
        <v>45922</v>
      </c>
      <c r="B240" t="s">
        <v>116</v>
      </c>
      <c r="C240">
        <v>2025</v>
      </c>
      <c r="D240" t="s">
        <v>10</v>
      </c>
      <c r="E240" t="s">
        <v>25</v>
      </c>
      <c r="F240" t="s">
        <v>62</v>
      </c>
      <c r="G240">
        <v>12</v>
      </c>
      <c r="H240" t="s">
        <v>49</v>
      </c>
      <c r="I240" t="s">
        <v>9</v>
      </c>
    </row>
    <row r="241" spans="1:9" hidden="1" x14ac:dyDescent="0.3">
      <c r="A241" s="1">
        <v>45924</v>
      </c>
      <c r="B241" t="s">
        <v>116</v>
      </c>
      <c r="C241">
        <v>2025</v>
      </c>
      <c r="D241" t="s">
        <v>4</v>
      </c>
      <c r="E241" t="s">
        <v>20</v>
      </c>
      <c r="F241" t="s">
        <v>64</v>
      </c>
      <c r="G241">
        <v>89</v>
      </c>
      <c r="H241" t="s">
        <v>49</v>
      </c>
      <c r="I241" t="s">
        <v>21</v>
      </c>
    </row>
    <row r="242" spans="1:9" hidden="1" x14ac:dyDescent="0.3">
      <c r="A242" s="1">
        <v>45925</v>
      </c>
      <c r="B242" t="s">
        <v>116</v>
      </c>
      <c r="C242">
        <v>2025</v>
      </c>
      <c r="D242" t="s">
        <v>86</v>
      </c>
      <c r="E242" t="s">
        <v>28</v>
      </c>
      <c r="F242" t="s">
        <v>65</v>
      </c>
      <c r="G242">
        <v>55</v>
      </c>
      <c r="H242" t="s">
        <v>49</v>
      </c>
      <c r="I242" t="s">
        <v>27</v>
      </c>
    </row>
    <row r="243" spans="1:9" x14ac:dyDescent="0.3">
      <c r="A243" s="1">
        <v>45926</v>
      </c>
      <c r="B243" t="s">
        <v>116</v>
      </c>
      <c r="C243">
        <v>2025</v>
      </c>
      <c r="D243" t="s">
        <v>55</v>
      </c>
      <c r="E243" t="s">
        <v>41</v>
      </c>
      <c r="F243" t="s">
        <v>56</v>
      </c>
      <c r="G243">
        <v>3250</v>
      </c>
      <c r="H243" t="s">
        <v>45</v>
      </c>
      <c r="I243" t="s">
        <v>3</v>
      </c>
    </row>
    <row r="244" spans="1:9" hidden="1" x14ac:dyDescent="0.3">
      <c r="A244" s="1">
        <v>45926</v>
      </c>
      <c r="B244" t="s">
        <v>116</v>
      </c>
      <c r="C244">
        <v>2025</v>
      </c>
      <c r="D244" t="s">
        <v>12</v>
      </c>
      <c r="E244" t="s">
        <v>108</v>
      </c>
      <c r="F244" t="s">
        <v>66</v>
      </c>
      <c r="G244">
        <v>50</v>
      </c>
      <c r="H244" t="s">
        <v>49</v>
      </c>
      <c r="I244" t="s">
        <v>9</v>
      </c>
    </row>
    <row r="245" spans="1:9" hidden="1" x14ac:dyDescent="0.3">
      <c r="A245" s="1">
        <v>45927</v>
      </c>
      <c r="B245" t="s">
        <v>116</v>
      </c>
      <c r="C245">
        <v>2025</v>
      </c>
      <c r="D245" t="s">
        <v>67</v>
      </c>
      <c r="E245" t="s">
        <v>15</v>
      </c>
      <c r="F245" t="s">
        <v>67</v>
      </c>
      <c r="G245">
        <v>45</v>
      </c>
      <c r="H245" t="s">
        <v>49</v>
      </c>
      <c r="I245" t="s">
        <v>9</v>
      </c>
    </row>
    <row r="246" spans="1:9" hidden="1" x14ac:dyDescent="0.3">
      <c r="A246" s="1">
        <v>45931</v>
      </c>
      <c r="B246" t="s">
        <v>117</v>
      </c>
      <c r="C246">
        <v>2025</v>
      </c>
      <c r="D246" t="s">
        <v>67</v>
      </c>
      <c r="E246" t="s">
        <v>82</v>
      </c>
      <c r="F246" t="s">
        <v>67</v>
      </c>
      <c r="G246">
        <v>250</v>
      </c>
      <c r="H246" t="s">
        <v>49</v>
      </c>
      <c r="I246" t="s">
        <v>9</v>
      </c>
    </row>
    <row r="247" spans="1:9" x14ac:dyDescent="0.3">
      <c r="A247" s="1">
        <v>45931</v>
      </c>
      <c r="B247" t="s">
        <v>117</v>
      </c>
      <c r="C247">
        <v>2025</v>
      </c>
      <c r="D247" t="s">
        <v>42</v>
      </c>
      <c r="E247" t="s">
        <v>46</v>
      </c>
      <c r="F247" t="s">
        <v>47</v>
      </c>
      <c r="G247">
        <v>40</v>
      </c>
      <c r="H247" t="s">
        <v>45</v>
      </c>
      <c r="I247" t="s">
        <v>3</v>
      </c>
    </row>
    <row r="248" spans="1:9" hidden="1" x14ac:dyDescent="0.3">
      <c r="A248" s="1">
        <v>45931</v>
      </c>
      <c r="B248" t="s">
        <v>117</v>
      </c>
      <c r="C248">
        <v>2025</v>
      </c>
      <c r="D248" t="s">
        <v>74</v>
      </c>
      <c r="E248" t="s">
        <v>75</v>
      </c>
      <c r="F248" t="s">
        <v>48</v>
      </c>
      <c r="G248">
        <v>2712</v>
      </c>
      <c r="H248" t="s">
        <v>49</v>
      </c>
      <c r="I248" t="s">
        <v>3</v>
      </c>
    </row>
    <row r="249" spans="1:9" hidden="1" x14ac:dyDescent="0.3">
      <c r="A249" s="1">
        <v>45931</v>
      </c>
      <c r="B249" t="s">
        <v>117</v>
      </c>
      <c r="C249">
        <v>2025</v>
      </c>
      <c r="D249" t="s">
        <v>7</v>
      </c>
      <c r="E249" t="s">
        <v>77</v>
      </c>
      <c r="F249" t="s">
        <v>110</v>
      </c>
      <c r="G249">
        <v>45</v>
      </c>
      <c r="H249" t="s">
        <v>49</v>
      </c>
      <c r="I249" t="s">
        <v>9</v>
      </c>
    </row>
    <row r="250" spans="1:9" hidden="1" x14ac:dyDescent="0.3">
      <c r="A250" s="1">
        <v>45933</v>
      </c>
      <c r="B250" t="s">
        <v>117</v>
      </c>
      <c r="C250">
        <v>2025</v>
      </c>
      <c r="D250" t="s">
        <v>4</v>
      </c>
      <c r="E250" t="s">
        <v>5</v>
      </c>
      <c r="F250" t="s">
        <v>68</v>
      </c>
      <c r="G250">
        <v>220</v>
      </c>
      <c r="H250" t="s">
        <v>49</v>
      </c>
      <c r="I250" t="s">
        <v>6</v>
      </c>
    </row>
    <row r="251" spans="1:9" hidden="1" x14ac:dyDescent="0.3">
      <c r="A251" s="1">
        <v>45935</v>
      </c>
      <c r="B251" t="s">
        <v>117</v>
      </c>
      <c r="C251">
        <v>2025</v>
      </c>
      <c r="D251" t="s">
        <v>79</v>
      </c>
      <c r="E251" t="s">
        <v>76</v>
      </c>
      <c r="F251" t="s">
        <v>80</v>
      </c>
      <c r="G251">
        <v>45</v>
      </c>
      <c r="H251" t="s">
        <v>49</v>
      </c>
      <c r="I251" t="s">
        <v>9</v>
      </c>
    </row>
    <row r="252" spans="1:9" x14ac:dyDescent="0.3">
      <c r="A252" s="1">
        <v>45940</v>
      </c>
      <c r="B252" t="s">
        <v>117</v>
      </c>
      <c r="C252">
        <v>2025</v>
      </c>
      <c r="D252" t="s">
        <v>55</v>
      </c>
      <c r="E252" t="s">
        <v>41</v>
      </c>
      <c r="F252" t="s">
        <v>56</v>
      </c>
      <c r="G252">
        <v>3250</v>
      </c>
      <c r="H252" t="s">
        <v>45</v>
      </c>
      <c r="I252" t="s">
        <v>3</v>
      </c>
    </row>
    <row r="253" spans="1:9" hidden="1" x14ac:dyDescent="0.3">
      <c r="A253" s="1">
        <v>45940</v>
      </c>
      <c r="B253" t="s">
        <v>117</v>
      </c>
      <c r="C253">
        <v>2025</v>
      </c>
      <c r="D253" t="s">
        <v>4</v>
      </c>
      <c r="E253" t="s">
        <v>19</v>
      </c>
      <c r="F253" t="s">
        <v>4</v>
      </c>
      <c r="G253">
        <v>130</v>
      </c>
      <c r="H253" t="s">
        <v>49</v>
      </c>
      <c r="I253" t="s">
        <v>6</v>
      </c>
    </row>
    <row r="254" spans="1:9" hidden="1" x14ac:dyDescent="0.3">
      <c r="A254" s="1">
        <v>45941</v>
      </c>
      <c r="B254" t="s">
        <v>117</v>
      </c>
      <c r="C254">
        <v>2025</v>
      </c>
      <c r="D254" t="s">
        <v>7</v>
      </c>
      <c r="E254" t="s">
        <v>8</v>
      </c>
      <c r="F254" t="s">
        <v>50</v>
      </c>
      <c r="G254">
        <v>145</v>
      </c>
      <c r="H254" t="s">
        <v>49</v>
      </c>
      <c r="I254" t="s">
        <v>9</v>
      </c>
    </row>
    <row r="255" spans="1:9" hidden="1" x14ac:dyDescent="0.3">
      <c r="A255" s="1">
        <v>45942</v>
      </c>
      <c r="B255" t="s">
        <v>117</v>
      </c>
      <c r="C255">
        <v>2025</v>
      </c>
      <c r="D255" t="s">
        <v>7</v>
      </c>
      <c r="E255" t="s">
        <v>17</v>
      </c>
      <c r="F255" t="s">
        <v>51</v>
      </c>
      <c r="G255">
        <v>60</v>
      </c>
      <c r="H255" t="s">
        <v>49</v>
      </c>
      <c r="I255" t="s">
        <v>9</v>
      </c>
    </row>
    <row r="256" spans="1:9" hidden="1" x14ac:dyDescent="0.3">
      <c r="A256" s="1">
        <v>45943</v>
      </c>
      <c r="B256" t="s">
        <v>117</v>
      </c>
      <c r="C256">
        <v>2025</v>
      </c>
      <c r="D256" t="s">
        <v>7</v>
      </c>
      <c r="E256" t="s">
        <v>22</v>
      </c>
      <c r="F256" t="s">
        <v>52</v>
      </c>
      <c r="G256">
        <v>50</v>
      </c>
      <c r="H256" t="s">
        <v>49</v>
      </c>
      <c r="I256" t="s">
        <v>9</v>
      </c>
    </row>
    <row r="257" spans="1:9" hidden="1" x14ac:dyDescent="0.3">
      <c r="A257" s="1">
        <v>45945</v>
      </c>
      <c r="B257" t="s">
        <v>117</v>
      </c>
      <c r="C257">
        <v>2025</v>
      </c>
      <c r="D257" t="s">
        <v>79</v>
      </c>
      <c r="E257" t="s">
        <v>23</v>
      </c>
      <c r="F257" t="s">
        <v>53</v>
      </c>
      <c r="G257">
        <v>80</v>
      </c>
      <c r="H257" t="s">
        <v>49</v>
      </c>
      <c r="I257" t="s">
        <v>9</v>
      </c>
    </row>
    <row r="258" spans="1:9" hidden="1" x14ac:dyDescent="0.3">
      <c r="A258" s="1">
        <v>45946</v>
      </c>
      <c r="B258" t="s">
        <v>117</v>
      </c>
      <c r="C258">
        <v>2025</v>
      </c>
      <c r="D258" t="s">
        <v>59</v>
      </c>
      <c r="E258" t="s">
        <v>40</v>
      </c>
      <c r="F258" t="s">
        <v>54</v>
      </c>
      <c r="G258">
        <v>100</v>
      </c>
      <c r="H258" t="s">
        <v>49</v>
      </c>
      <c r="I258" t="s">
        <v>3</v>
      </c>
    </row>
    <row r="259" spans="1:9" hidden="1" x14ac:dyDescent="0.3">
      <c r="A259" s="1">
        <v>45947</v>
      </c>
      <c r="B259" t="s">
        <v>117</v>
      </c>
      <c r="C259">
        <v>2025</v>
      </c>
      <c r="D259" t="s">
        <v>4</v>
      </c>
      <c r="E259" t="s">
        <v>14</v>
      </c>
      <c r="F259" t="s">
        <v>57</v>
      </c>
      <c r="G259">
        <v>260</v>
      </c>
      <c r="H259" t="s">
        <v>49</v>
      </c>
      <c r="I259" t="s">
        <v>6</v>
      </c>
    </row>
    <row r="260" spans="1:9" hidden="1" x14ac:dyDescent="0.3">
      <c r="A260" s="1">
        <v>45948</v>
      </c>
      <c r="B260" t="s">
        <v>117</v>
      </c>
      <c r="C260">
        <v>2025</v>
      </c>
      <c r="D260" t="s">
        <v>12</v>
      </c>
      <c r="E260" t="s">
        <v>108</v>
      </c>
      <c r="F260" t="s">
        <v>58</v>
      </c>
      <c r="G260">
        <v>85</v>
      </c>
      <c r="H260" t="s">
        <v>49</v>
      </c>
      <c r="I260" t="s">
        <v>9</v>
      </c>
    </row>
    <row r="261" spans="1:9" hidden="1" x14ac:dyDescent="0.3">
      <c r="A261" s="1">
        <v>45949</v>
      </c>
      <c r="B261" t="s">
        <v>117</v>
      </c>
      <c r="C261">
        <v>2025</v>
      </c>
      <c r="D261" t="s">
        <v>59</v>
      </c>
      <c r="E261" t="s">
        <v>60</v>
      </c>
      <c r="F261" t="s">
        <v>61</v>
      </c>
      <c r="G261">
        <v>50</v>
      </c>
      <c r="H261" t="s">
        <v>49</v>
      </c>
      <c r="I261" t="s">
        <v>6</v>
      </c>
    </row>
    <row r="262" spans="1:9" hidden="1" x14ac:dyDescent="0.3">
      <c r="A262" s="1">
        <v>45949</v>
      </c>
      <c r="B262" t="s">
        <v>117</v>
      </c>
      <c r="C262">
        <v>2025</v>
      </c>
      <c r="D262" t="s">
        <v>113</v>
      </c>
      <c r="E262" t="s">
        <v>14</v>
      </c>
      <c r="F262" t="s">
        <v>113</v>
      </c>
      <c r="G262">
        <v>80</v>
      </c>
      <c r="H262" t="s">
        <v>49</v>
      </c>
      <c r="I262" t="s">
        <v>9</v>
      </c>
    </row>
    <row r="263" spans="1:9" hidden="1" x14ac:dyDescent="0.3">
      <c r="A263" s="1">
        <v>45950</v>
      </c>
      <c r="B263" t="s">
        <v>117</v>
      </c>
      <c r="C263">
        <v>2025</v>
      </c>
      <c r="D263" t="s">
        <v>10</v>
      </c>
      <c r="E263" t="s">
        <v>11</v>
      </c>
      <c r="F263" t="s">
        <v>62</v>
      </c>
      <c r="G263">
        <v>15</v>
      </c>
      <c r="H263" t="s">
        <v>49</v>
      </c>
      <c r="I263" t="s">
        <v>9</v>
      </c>
    </row>
    <row r="264" spans="1:9" hidden="1" x14ac:dyDescent="0.3">
      <c r="A264" s="1">
        <v>45951</v>
      </c>
      <c r="B264" t="s">
        <v>117</v>
      </c>
      <c r="C264">
        <v>2025</v>
      </c>
      <c r="D264" t="s">
        <v>10</v>
      </c>
      <c r="E264" t="s">
        <v>24</v>
      </c>
      <c r="F264" t="s">
        <v>62</v>
      </c>
      <c r="G264">
        <v>15</v>
      </c>
      <c r="H264" t="s">
        <v>49</v>
      </c>
      <c r="I264" t="s">
        <v>9</v>
      </c>
    </row>
    <row r="265" spans="1:9" hidden="1" x14ac:dyDescent="0.3">
      <c r="A265" s="1">
        <v>45952</v>
      </c>
      <c r="B265" t="s">
        <v>117</v>
      </c>
      <c r="C265">
        <v>2025</v>
      </c>
      <c r="D265" t="s">
        <v>10</v>
      </c>
      <c r="E265" t="s">
        <v>25</v>
      </c>
      <c r="F265" t="s">
        <v>62</v>
      </c>
      <c r="G265">
        <v>12</v>
      </c>
      <c r="H265" t="s">
        <v>49</v>
      </c>
      <c r="I265" t="s">
        <v>9</v>
      </c>
    </row>
    <row r="266" spans="1:9" x14ac:dyDescent="0.3">
      <c r="A266" s="1">
        <v>45954</v>
      </c>
      <c r="B266" t="s">
        <v>117</v>
      </c>
      <c r="C266">
        <v>2025</v>
      </c>
      <c r="D266" t="s">
        <v>55</v>
      </c>
      <c r="E266" t="s">
        <v>41</v>
      </c>
      <c r="F266" t="s">
        <v>56</v>
      </c>
      <c r="G266">
        <v>3250</v>
      </c>
      <c r="H266" t="s">
        <v>45</v>
      </c>
      <c r="I266" t="s">
        <v>3</v>
      </c>
    </row>
    <row r="267" spans="1:9" hidden="1" x14ac:dyDescent="0.3">
      <c r="A267" s="1">
        <v>45954</v>
      </c>
      <c r="B267" t="s">
        <v>117</v>
      </c>
      <c r="C267">
        <v>2025</v>
      </c>
      <c r="D267" t="s">
        <v>4</v>
      </c>
      <c r="E267" t="s">
        <v>20</v>
      </c>
      <c r="F267" t="s">
        <v>64</v>
      </c>
      <c r="G267">
        <v>90</v>
      </c>
      <c r="H267" t="s">
        <v>49</v>
      </c>
      <c r="I267" t="s">
        <v>21</v>
      </c>
    </row>
    <row r="268" spans="1:9" hidden="1" x14ac:dyDescent="0.3">
      <c r="A268" s="1">
        <v>45955</v>
      </c>
      <c r="B268" t="s">
        <v>117</v>
      </c>
      <c r="C268">
        <v>2025</v>
      </c>
      <c r="D268" t="s">
        <v>86</v>
      </c>
      <c r="E268" t="s">
        <v>28</v>
      </c>
      <c r="F268" t="s">
        <v>65</v>
      </c>
      <c r="G268">
        <v>260</v>
      </c>
      <c r="H268" t="s">
        <v>49</v>
      </c>
      <c r="I268" t="s">
        <v>27</v>
      </c>
    </row>
    <row r="269" spans="1:9" hidden="1" x14ac:dyDescent="0.3">
      <c r="A269" s="1">
        <v>45956</v>
      </c>
      <c r="B269" t="s">
        <v>117</v>
      </c>
      <c r="C269">
        <v>2025</v>
      </c>
      <c r="D269" t="s">
        <v>12</v>
      </c>
      <c r="E269" t="s">
        <v>108</v>
      </c>
      <c r="F269" t="s">
        <v>66</v>
      </c>
      <c r="G269">
        <v>55</v>
      </c>
      <c r="H269" t="s">
        <v>49</v>
      </c>
      <c r="I269" t="s">
        <v>9</v>
      </c>
    </row>
    <row r="270" spans="1:9" hidden="1" x14ac:dyDescent="0.3">
      <c r="A270" s="1">
        <v>45957</v>
      </c>
      <c r="B270" t="s">
        <v>117</v>
      </c>
      <c r="C270">
        <v>2025</v>
      </c>
      <c r="D270" t="s">
        <v>67</v>
      </c>
      <c r="E270" t="s">
        <v>15</v>
      </c>
      <c r="F270" t="s">
        <v>67</v>
      </c>
      <c r="G270">
        <v>35</v>
      </c>
      <c r="H270" t="s">
        <v>49</v>
      </c>
      <c r="I270" t="s">
        <v>9</v>
      </c>
    </row>
    <row r="271" spans="1:9" hidden="1" x14ac:dyDescent="0.3">
      <c r="A271" s="1">
        <v>45962</v>
      </c>
      <c r="B271" t="s">
        <v>118</v>
      </c>
      <c r="C271">
        <v>2025</v>
      </c>
      <c r="D271" t="s">
        <v>67</v>
      </c>
      <c r="E271" t="s">
        <v>82</v>
      </c>
      <c r="F271" t="s">
        <v>67</v>
      </c>
      <c r="G271">
        <v>250</v>
      </c>
      <c r="H271" t="s">
        <v>49</v>
      </c>
      <c r="I271" t="s">
        <v>9</v>
      </c>
    </row>
    <row r="272" spans="1:9" x14ac:dyDescent="0.3">
      <c r="A272" s="1">
        <v>45962</v>
      </c>
      <c r="B272" t="s">
        <v>118</v>
      </c>
      <c r="C272">
        <v>2025</v>
      </c>
      <c r="D272" t="s">
        <v>42</v>
      </c>
      <c r="E272" t="s">
        <v>46</v>
      </c>
      <c r="F272" t="s">
        <v>47</v>
      </c>
      <c r="G272">
        <v>40</v>
      </c>
      <c r="H272" t="s">
        <v>45</v>
      </c>
      <c r="I272" t="s">
        <v>3</v>
      </c>
    </row>
    <row r="273" spans="1:9" hidden="1" x14ac:dyDescent="0.3">
      <c r="A273" s="1">
        <v>45962</v>
      </c>
      <c r="B273" t="s">
        <v>118</v>
      </c>
      <c r="C273">
        <v>2025</v>
      </c>
      <c r="D273" t="s">
        <v>74</v>
      </c>
      <c r="E273" t="s">
        <v>75</v>
      </c>
      <c r="F273" t="s">
        <v>48</v>
      </c>
      <c r="G273">
        <v>2712</v>
      </c>
      <c r="H273" t="s">
        <v>49</v>
      </c>
      <c r="I273" t="s">
        <v>3</v>
      </c>
    </row>
    <row r="274" spans="1:9" hidden="1" x14ac:dyDescent="0.3">
      <c r="A274" s="1">
        <v>45964</v>
      </c>
      <c r="B274" t="s">
        <v>118</v>
      </c>
      <c r="C274">
        <v>2025</v>
      </c>
      <c r="D274" t="s">
        <v>4</v>
      </c>
      <c r="E274" t="s">
        <v>5</v>
      </c>
      <c r="F274" t="s">
        <v>68</v>
      </c>
      <c r="G274">
        <v>223</v>
      </c>
      <c r="H274" t="s">
        <v>49</v>
      </c>
      <c r="I274" t="s">
        <v>6</v>
      </c>
    </row>
    <row r="275" spans="1:9" hidden="1" x14ac:dyDescent="0.3">
      <c r="A275" s="1">
        <v>45966</v>
      </c>
      <c r="B275" t="s">
        <v>118</v>
      </c>
      <c r="C275">
        <v>2025</v>
      </c>
      <c r="D275" t="s">
        <v>100</v>
      </c>
      <c r="E275" t="s">
        <v>94</v>
      </c>
      <c r="F275" t="s">
        <v>63</v>
      </c>
      <c r="G275">
        <v>120</v>
      </c>
      <c r="H275" t="s">
        <v>49</v>
      </c>
      <c r="I275" t="s">
        <v>9</v>
      </c>
    </row>
    <row r="276" spans="1:9" hidden="1" x14ac:dyDescent="0.3">
      <c r="A276" s="1">
        <v>45966</v>
      </c>
      <c r="B276" t="s">
        <v>118</v>
      </c>
      <c r="C276">
        <v>2025</v>
      </c>
      <c r="D276" t="s">
        <v>7</v>
      </c>
      <c r="E276" t="s">
        <v>77</v>
      </c>
      <c r="F276" t="s">
        <v>110</v>
      </c>
      <c r="G276">
        <v>45</v>
      </c>
      <c r="H276" t="s">
        <v>49</v>
      </c>
      <c r="I276" t="s">
        <v>9</v>
      </c>
    </row>
    <row r="277" spans="1:9" x14ac:dyDescent="0.3">
      <c r="A277" s="1">
        <v>45968</v>
      </c>
      <c r="B277" t="s">
        <v>118</v>
      </c>
      <c r="C277">
        <v>2025</v>
      </c>
      <c r="D277" t="s">
        <v>55</v>
      </c>
      <c r="E277" t="s">
        <v>41</v>
      </c>
      <c r="F277" t="s">
        <v>56</v>
      </c>
      <c r="G277">
        <v>3250</v>
      </c>
      <c r="H277" t="s">
        <v>45</v>
      </c>
      <c r="I277" t="s">
        <v>3</v>
      </c>
    </row>
    <row r="278" spans="1:9" hidden="1" x14ac:dyDescent="0.3">
      <c r="A278" s="1">
        <v>45971</v>
      </c>
      <c r="B278" t="s">
        <v>118</v>
      </c>
      <c r="C278">
        <v>2025</v>
      </c>
      <c r="D278" t="s">
        <v>4</v>
      </c>
      <c r="E278" t="s">
        <v>19</v>
      </c>
      <c r="F278" t="s">
        <v>4</v>
      </c>
      <c r="G278">
        <v>132</v>
      </c>
      <c r="H278" t="s">
        <v>49</v>
      </c>
      <c r="I278" t="s">
        <v>6</v>
      </c>
    </row>
    <row r="279" spans="1:9" hidden="1" x14ac:dyDescent="0.3">
      <c r="A279" s="1">
        <v>45972</v>
      </c>
      <c r="B279" t="s">
        <v>118</v>
      </c>
      <c r="C279">
        <v>2025</v>
      </c>
      <c r="D279" t="s">
        <v>7</v>
      </c>
      <c r="E279" t="s">
        <v>8</v>
      </c>
      <c r="F279" t="s">
        <v>50</v>
      </c>
      <c r="G279">
        <v>130</v>
      </c>
      <c r="H279" t="s">
        <v>49</v>
      </c>
      <c r="I279" t="s">
        <v>9</v>
      </c>
    </row>
    <row r="280" spans="1:9" hidden="1" x14ac:dyDescent="0.3">
      <c r="A280" s="1">
        <v>45972</v>
      </c>
      <c r="B280" t="s">
        <v>118</v>
      </c>
      <c r="C280">
        <v>2025</v>
      </c>
      <c r="D280" t="s">
        <v>79</v>
      </c>
      <c r="E280" t="s">
        <v>76</v>
      </c>
      <c r="F280" t="s">
        <v>80</v>
      </c>
      <c r="G280">
        <v>48</v>
      </c>
      <c r="H280" t="s">
        <v>49</v>
      </c>
      <c r="I280" t="s">
        <v>9</v>
      </c>
    </row>
    <row r="281" spans="1:9" hidden="1" x14ac:dyDescent="0.3">
      <c r="A281" s="1">
        <v>45973</v>
      </c>
      <c r="B281" t="s">
        <v>118</v>
      </c>
      <c r="C281">
        <v>2025</v>
      </c>
      <c r="D281" t="s">
        <v>7</v>
      </c>
      <c r="E281" t="s">
        <v>17</v>
      </c>
      <c r="F281" t="s">
        <v>51</v>
      </c>
      <c r="G281">
        <v>70</v>
      </c>
      <c r="H281" t="s">
        <v>49</v>
      </c>
      <c r="I281" t="s">
        <v>9</v>
      </c>
    </row>
    <row r="282" spans="1:9" hidden="1" x14ac:dyDescent="0.3">
      <c r="A282" s="1">
        <v>45974</v>
      </c>
      <c r="B282" t="s">
        <v>118</v>
      </c>
      <c r="C282">
        <v>2025</v>
      </c>
      <c r="D282" t="s">
        <v>7</v>
      </c>
      <c r="E282" t="s">
        <v>22</v>
      </c>
      <c r="F282" t="s">
        <v>52</v>
      </c>
      <c r="G282">
        <v>75</v>
      </c>
      <c r="H282" t="s">
        <v>49</v>
      </c>
      <c r="I282" t="s">
        <v>9</v>
      </c>
    </row>
    <row r="283" spans="1:9" hidden="1" x14ac:dyDescent="0.3">
      <c r="A283" s="1">
        <v>45976</v>
      </c>
      <c r="B283" t="s">
        <v>118</v>
      </c>
      <c r="C283">
        <v>2025</v>
      </c>
      <c r="D283" t="s">
        <v>79</v>
      </c>
      <c r="E283" t="s">
        <v>23</v>
      </c>
      <c r="F283" t="s">
        <v>53</v>
      </c>
      <c r="G283">
        <v>100</v>
      </c>
      <c r="H283" t="s">
        <v>49</v>
      </c>
      <c r="I283" t="s">
        <v>9</v>
      </c>
    </row>
    <row r="284" spans="1:9" hidden="1" x14ac:dyDescent="0.3">
      <c r="A284" s="1">
        <v>45976</v>
      </c>
      <c r="B284" t="s">
        <v>118</v>
      </c>
      <c r="C284">
        <v>2025</v>
      </c>
      <c r="D284" t="s">
        <v>100</v>
      </c>
      <c r="E284" t="s">
        <v>93</v>
      </c>
      <c r="F284" t="s">
        <v>63</v>
      </c>
      <c r="G284">
        <v>90</v>
      </c>
      <c r="H284" t="s">
        <v>49</v>
      </c>
      <c r="I284" t="s">
        <v>9</v>
      </c>
    </row>
    <row r="285" spans="1:9" hidden="1" x14ac:dyDescent="0.3">
      <c r="A285" s="1">
        <v>45977</v>
      </c>
      <c r="B285" t="s">
        <v>118</v>
      </c>
      <c r="C285">
        <v>2025</v>
      </c>
      <c r="D285" t="s">
        <v>59</v>
      </c>
      <c r="E285" t="s">
        <v>40</v>
      </c>
      <c r="F285" t="s">
        <v>54</v>
      </c>
      <c r="G285">
        <v>100</v>
      </c>
      <c r="H285" t="s">
        <v>49</v>
      </c>
      <c r="I285" t="s">
        <v>3</v>
      </c>
    </row>
    <row r="286" spans="1:9" hidden="1" x14ac:dyDescent="0.3">
      <c r="A286" s="1">
        <v>45978</v>
      </c>
      <c r="B286" t="s">
        <v>118</v>
      </c>
      <c r="C286">
        <v>2025</v>
      </c>
      <c r="D286" t="s">
        <v>4</v>
      </c>
      <c r="E286" t="s">
        <v>14</v>
      </c>
      <c r="F286" t="s">
        <v>57</v>
      </c>
      <c r="G286">
        <v>264</v>
      </c>
      <c r="H286" t="s">
        <v>49</v>
      </c>
      <c r="I286" t="s">
        <v>6</v>
      </c>
    </row>
    <row r="287" spans="1:9" hidden="1" x14ac:dyDescent="0.3">
      <c r="A287" s="1">
        <v>45979</v>
      </c>
      <c r="B287" t="s">
        <v>118</v>
      </c>
      <c r="C287">
        <v>2025</v>
      </c>
      <c r="D287" t="s">
        <v>12</v>
      </c>
      <c r="E287" t="s">
        <v>108</v>
      </c>
      <c r="F287" t="s">
        <v>58</v>
      </c>
      <c r="G287">
        <v>90</v>
      </c>
      <c r="H287" t="s">
        <v>49</v>
      </c>
      <c r="I287" t="s">
        <v>9</v>
      </c>
    </row>
    <row r="288" spans="1:9" hidden="1" x14ac:dyDescent="0.3">
      <c r="A288" s="1">
        <v>45980</v>
      </c>
      <c r="B288" t="s">
        <v>118</v>
      </c>
      <c r="C288">
        <v>2025</v>
      </c>
      <c r="D288" t="s">
        <v>59</v>
      </c>
      <c r="E288" t="s">
        <v>60</v>
      </c>
      <c r="F288" t="s">
        <v>61</v>
      </c>
      <c r="G288">
        <v>60</v>
      </c>
      <c r="H288" t="s">
        <v>49</v>
      </c>
      <c r="I288" t="s">
        <v>6</v>
      </c>
    </row>
    <row r="289" spans="1:9" hidden="1" x14ac:dyDescent="0.3">
      <c r="A289" s="1">
        <v>45981</v>
      </c>
      <c r="B289" t="s">
        <v>118</v>
      </c>
      <c r="C289">
        <v>2025</v>
      </c>
      <c r="D289" t="s">
        <v>10</v>
      </c>
      <c r="E289" t="s">
        <v>11</v>
      </c>
      <c r="F289" t="s">
        <v>62</v>
      </c>
      <c r="G289">
        <v>15</v>
      </c>
      <c r="H289" t="s">
        <v>49</v>
      </c>
      <c r="I289" t="s">
        <v>9</v>
      </c>
    </row>
    <row r="290" spans="1:9" x14ac:dyDescent="0.3">
      <c r="A290" s="1">
        <v>45982</v>
      </c>
      <c r="B290" t="s">
        <v>118</v>
      </c>
      <c r="C290">
        <v>2025</v>
      </c>
      <c r="D290" t="s">
        <v>55</v>
      </c>
      <c r="E290" t="s">
        <v>41</v>
      </c>
      <c r="F290" t="s">
        <v>56</v>
      </c>
      <c r="G290">
        <v>3250</v>
      </c>
      <c r="H290" t="s">
        <v>45</v>
      </c>
      <c r="I290" t="s">
        <v>3</v>
      </c>
    </row>
    <row r="291" spans="1:9" hidden="1" x14ac:dyDescent="0.3">
      <c r="A291" s="1">
        <v>45982</v>
      </c>
      <c r="B291" t="s">
        <v>118</v>
      </c>
      <c r="C291">
        <v>2025</v>
      </c>
      <c r="D291" t="s">
        <v>10</v>
      </c>
      <c r="E291" t="s">
        <v>24</v>
      </c>
      <c r="F291" t="s">
        <v>62</v>
      </c>
      <c r="G291">
        <v>15</v>
      </c>
      <c r="H291" t="s">
        <v>49</v>
      </c>
      <c r="I291" t="s">
        <v>9</v>
      </c>
    </row>
    <row r="292" spans="1:9" hidden="1" x14ac:dyDescent="0.3">
      <c r="A292" s="1">
        <v>45983</v>
      </c>
      <c r="B292" t="s">
        <v>118</v>
      </c>
      <c r="C292">
        <v>2025</v>
      </c>
      <c r="D292" t="s">
        <v>10</v>
      </c>
      <c r="E292" t="s">
        <v>25</v>
      </c>
      <c r="F292" t="s">
        <v>62</v>
      </c>
      <c r="G292">
        <v>12</v>
      </c>
      <c r="H292" t="s">
        <v>49</v>
      </c>
      <c r="I292" t="s">
        <v>9</v>
      </c>
    </row>
    <row r="293" spans="1:9" hidden="1" x14ac:dyDescent="0.3">
      <c r="A293" s="1">
        <v>45983</v>
      </c>
      <c r="B293" t="s">
        <v>118</v>
      </c>
      <c r="C293">
        <v>2025</v>
      </c>
      <c r="D293" t="s">
        <v>113</v>
      </c>
      <c r="E293" t="s">
        <v>14</v>
      </c>
      <c r="F293" t="s">
        <v>113</v>
      </c>
      <c r="G293">
        <v>55</v>
      </c>
      <c r="H293" t="s">
        <v>49</v>
      </c>
      <c r="I293" t="s">
        <v>9</v>
      </c>
    </row>
    <row r="294" spans="1:9" hidden="1" x14ac:dyDescent="0.3">
      <c r="A294" s="1">
        <v>45984</v>
      </c>
      <c r="B294" t="s">
        <v>118</v>
      </c>
      <c r="C294">
        <v>2025</v>
      </c>
      <c r="D294" t="s">
        <v>100</v>
      </c>
      <c r="E294" t="s">
        <v>92</v>
      </c>
      <c r="F294" t="s">
        <v>63</v>
      </c>
      <c r="G294">
        <v>170</v>
      </c>
      <c r="H294" t="s">
        <v>49</v>
      </c>
      <c r="I294" t="s">
        <v>9</v>
      </c>
    </row>
    <row r="295" spans="1:9" hidden="1" x14ac:dyDescent="0.3">
      <c r="A295" s="1">
        <v>45985</v>
      </c>
      <c r="B295" t="s">
        <v>118</v>
      </c>
      <c r="C295">
        <v>2025</v>
      </c>
      <c r="D295" t="s">
        <v>4</v>
      </c>
      <c r="E295" t="s">
        <v>20</v>
      </c>
      <c r="F295" t="s">
        <v>64</v>
      </c>
      <c r="G295">
        <v>91</v>
      </c>
      <c r="H295" t="s">
        <v>49</v>
      </c>
      <c r="I295" t="s">
        <v>21</v>
      </c>
    </row>
    <row r="296" spans="1:9" hidden="1" x14ac:dyDescent="0.3">
      <c r="A296" s="1">
        <v>45986</v>
      </c>
      <c r="B296" t="s">
        <v>118</v>
      </c>
      <c r="C296">
        <v>2025</v>
      </c>
      <c r="D296" t="s">
        <v>86</v>
      </c>
      <c r="E296" t="s">
        <v>89</v>
      </c>
      <c r="F296" t="s">
        <v>65</v>
      </c>
      <c r="G296">
        <v>165</v>
      </c>
      <c r="H296" t="s">
        <v>49</v>
      </c>
      <c r="I296" t="s">
        <v>27</v>
      </c>
    </row>
    <row r="297" spans="1:9" hidden="1" x14ac:dyDescent="0.3">
      <c r="A297" s="1">
        <v>45986</v>
      </c>
      <c r="B297" t="s">
        <v>118</v>
      </c>
      <c r="C297">
        <v>2025</v>
      </c>
      <c r="D297" t="s">
        <v>113</v>
      </c>
      <c r="E297" t="s">
        <v>14</v>
      </c>
      <c r="F297" t="s">
        <v>112</v>
      </c>
      <c r="G297">
        <v>540</v>
      </c>
      <c r="H297" t="s">
        <v>49</v>
      </c>
      <c r="I297" t="s">
        <v>9</v>
      </c>
    </row>
    <row r="298" spans="1:9" hidden="1" x14ac:dyDescent="0.3">
      <c r="A298" s="1">
        <v>45987</v>
      </c>
      <c r="B298" t="s">
        <v>118</v>
      </c>
      <c r="C298">
        <v>2025</v>
      </c>
      <c r="D298" t="s">
        <v>12</v>
      </c>
      <c r="E298" t="s">
        <v>108</v>
      </c>
      <c r="F298" t="s">
        <v>66</v>
      </c>
      <c r="G298">
        <v>60</v>
      </c>
      <c r="H298" t="s">
        <v>49</v>
      </c>
      <c r="I298" t="s">
        <v>9</v>
      </c>
    </row>
    <row r="299" spans="1:9" hidden="1" x14ac:dyDescent="0.3">
      <c r="A299" s="1">
        <v>45988</v>
      </c>
      <c r="B299" t="s">
        <v>118</v>
      </c>
      <c r="C299">
        <v>2025</v>
      </c>
      <c r="D299" t="s">
        <v>67</v>
      </c>
      <c r="E299" t="s">
        <v>15</v>
      </c>
      <c r="F299" t="s">
        <v>67</v>
      </c>
      <c r="G299">
        <v>32</v>
      </c>
      <c r="H299" t="s">
        <v>49</v>
      </c>
      <c r="I299" t="s">
        <v>9</v>
      </c>
    </row>
    <row r="300" spans="1:9" hidden="1" x14ac:dyDescent="0.3">
      <c r="A300" s="1">
        <v>45992</v>
      </c>
      <c r="B300" t="s">
        <v>119</v>
      </c>
      <c r="C300">
        <v>2025</v>
      </c>
      <c r="D300" t="s">
        <v>67</v>
      </c>
      <c r="E300" t="s">
        <v>82</v>
      </c>
      <c r="F300" t="s">
        <v>67</v>
      </c>
      <c r="G300">
        <v>250</v>
      </c>
      <c r="H300" t="s">
        <v>49</v>
      </c>
      <c r="I300" t="s">
        <v>9</v>
      </c>
    </row>
    <row r="301" spans="1:9" x14ac:dyDescent="0.3">
      <c r="A301" s="1">
        <v>45992</v>
      </c>
      <c r="B301" t="s">
        <v>119</v>
      </c>
      <c r="C301">
        <v>2025</v>
      </c>
      <c r="D301" t="s">
        <v>42</v>
      </c>
      <c r="E301" t="s">
        <v>46</v>
      </c>
      <c r="F301" t="s">
        <v>47</v>
      </c>
      <c r="G301">
        <v>30</v>
      </c>
      <c r="H301" t="s">
        <v>45</v>
      </c>
      <c r="I301" t="s">
        <v>3</v>
      </c>
    </row>
    <row r="302" spans="1:9" hidden="1" x14ac:dyDescent="0.3">
      <c r="A302" s="1">
        <v>45992</v>
      </c>
      <c r="B302" t="s">
        <v>119</v>
      </c>
      <c r="C302">
        <v>2025</v>
      </c>
      <c r="D302" t="s">
        <v>74</v>
      </c>
      <c r="E302" t="s">
        <v>75</v>
      </c>
      <c r="F302" t="s">
        <v>48</v>
      </c>
      <c r="G302">
        <v>2712</v>
      </c>
      <c r="H302" t="s">
        <v>49</v>
      </c>
      <c r="I302" t="s">
        <v>3</v>
      </c>
    </row>
    <row r="303" spans="1:9" hidden="1" x14ac:dyDescent="0.3">
      <c r="A303" s="1">
        <v>45994</v>
      </c>
      <c r="B303" t="s">
        <v>119</v>
      </c>
      <c r="C303">
        <v>2025</v>
      </c>
      <c r="D303" t="s">
        <v>4</v>
      </c>
      <c r="E303" t="s">
        <v>5</v>
      </c>
      <c r="F303" t="s">
        <v>68</v>
      </c>
      <c r="G303">
        <v>226</v>
      </c>
      <c r="H303" t="s">
        <v>49</v>
      </c>
      <c r="I303" t="s">
        <v>6</v>
      </c>
    </row>
    <row r="304" spans="1:9" hidden="1" x14ac:dyDescent="0.3">
      <c r="A304" s="1">
        <v>45995</v>
      </c>
      <c r="B304" t="s">
        <v>119</v>
      </c>
      <c r="C304">
        <v>2025</v>
      </c>
      <c r="D304" t="s">
        <v>7</v>
      </c>
      <c r="E304" t="s">
        <v>77</v>
      </c>
      <c r="F304" t="s">
        <v>110</v>
      </c>
      <c r="G304">
        <v>45</v>
      </c>
      <c r="H304" t="s">
        <v>49</v>
      </c>
      <c r="I304" t="s">
        <v>9</v>
      </c>
    </row>
    <row r="305" spans="1:9" x14ac:dyDescent="0.3">
      <c r="A305" s="1">
        <v>45996</v>
      </c>
      <c r="B305" t="s">
        <v>119</v>
      </c>
      <c r="C305">
        <v>2025</v>
      </c>
      <c r="D305" t="s">
        <v>55</v>
      </c>
      <c r="E305" t="s">
        <v>41</v>
      </c>
      <c r="F305" t="s">
        <v>56</v>
      </c>
      <c r="G305">
        <v>3250</v>
      </c>
      <c r="H305" t="s">
        <v>45</v>
      </c>
      <c r="I305" t="s">
        <v>3</v>
      </c>
    </row>
    <row r="306" spans="1:9" hidden="1" x14ac:dyDescent="0.3">
      <c r="A306" s="1">
        <v>46001</v>
      </c>
      <c r="B306" t="s">
        <v>119</v>
      </c>
      <c r="C306">
        <v>2025</v>
      </c>
      <c r="D306" t="s">
        <v>4</v>
      </c>
      <c r="E306" t="s">
        <v>19</v>
      </c>
      <c r="F306" t="s">
        <v>4</v>
      </c>
      <c r="G306">
        <v>134</v>
      </c>
      <c r="H306" t="s">
        <v>49</v>
      </c>
      <c r="I306" t="s">
        <v>6</v>
      </c>
    </row>
    <row r="307" spans="1:9" hidden="1" x14ac:dyDescent="0.3">
      <c r="A307" s="1">
        <v>46002</v>
      </c>
      <c r="B307" t="s">
        <v>119</v>
      </c>
      <c r="C307">
        <v>2025</v>
      </c>
      <c r="D307" t="s">
        <v>7</v>
      </c>
      <c r="E307" t="s">
        <v>8</v>
      </c>
      <c r="F307" t="s">
        <v>50</v>
      </c>
      <c r="G307">
        <v>125</v>
      </c>
      <c r="H307" t="s">
        <v>49</v>
      </c>
      <c r="I307" t="s">
        <v>9</v>
      </c>
    </row>
    <row r="308" spans="1:9" hidden="1" x14ac:dyDescent="0.3">
      <c r="A308" s="1">
        <v>46003</v>
      </c>
      <c r="B308" t="s">
        <v>119</v>
      </c>
      <c r="C308">
        <v>2025</v>
      </c>
      <c r="D308" t="s">
        <v>7</v>
      </c>
      <c r="E308" t="s">
        <v>17</v>
      </c>
      <c r="F308" t="s">
        <v>51</v>
      </c>
      <c r="G308">
        <v>65</v>
      </c>
      <c r="H308" t="s">
        <v>49</v>
      </c>
      <c r="I308" t="s">
        <v>9</v>
      </c>
    </row>
    <row r="309" spans="1:9" hidden="1" x14ac:dyDescent="0.3">
      <c r="A309" s="1">
        <v>46004</v>
      </c>
      <c r="B309" t="s">
        <v>119</v>
      </c>
      <c r="C309">
        <v>2025</v>
      </c>
      <c r="D309" t="s">
        <v>7</v>
      </c>
      <c r="E309" t="s">
        <v>22</v>
      </c>
      <c r="F309" t="s">
        <v>52</v>
      </c>
      <c r="G309">
        <v>95</v>
      </c>
      <c r="H309" t="s">
        <v>49</v>
      </c>
      <c r="I309" t="s">
        <v>9</v>
      </c>
    </row>
    <row r="310" spans="1:9" hidden="1" x14ac:dyDescent="0.3">
      <c r="A310" s="1">
        <v>46006</v>
      </c>
      <c r="B310" t="s">
        <v>119</v>
      </c>
      <c r="C310">
        <v>2025</v>
      </c>
      <c r="D310" t="s">
        <v>79</v>
      </c>
      <c r="E310" t="s">
        <v>23</v>
      </c>
      <c r="F310" t="s">
        <v>53</v>
      </c>
      <c r="G310">
        <v>96</v>
      </c>
      <c r="H310" t="s">
        <v>49</v>
      </c>
      <c r="I310" t="s">
        <v>9</v>
      </c>
    </row>
    <row r="311" spans="1:9" hidden="1" x14ac:dyDescent="0.3">
      <c r="A311" s="1">
        <v>46007</v>
      </c>
      <c r="B311" t="s">
        <v>119</v>
      </c>
      <c r="C311">
        <v>2025</v>
      </c>
      <c r="D311" t="s">
        <v>100</v>
      </c>
      <c r="E311" t="s">
        <v>94</v>
      </c>
      <c r="F311" t="s">
        <v>111</v>
      </c>
      <c r="G311">
        <v>125</v>
      </c>
      <c r="H311" t="s">
        <v>49</v>
      </c>
      <c r="I311" t="s">
        <v>9</v>
      </c>
    </row>
    <row r="312" spans="1:9" hidden="1" x14ac:dyDescent="0.3">
      <c r="A312" s="1">
        <v>46007</v>
      </c>
      <c r="B312" t="s">
        <v>119</v>
      </c>
      <c r="C312">
        <v>2025</v>
      </c>
      <c r="D312" t="s">
        <v>59</v>
      </c>
      <c r="E312" t="s">
        <v>40</v>
      </c>
      <c r="F312" t="s">
        <v>54</v>
      </c>
      <c r="G312">
        <v>100</v>
      </c>
      <c r="H312" t="s">
        <v>49</v>
      </c>
      <c r="I312" t="s">
        <v>3</v>
      </c>
    </row>
    <row r="313" spans="1:9" hidden="1" x14ac:dyDescent="0.3">
      <c r="A313" s="1">
        <v>46008</v>
      </c>
      <c r="B313" t="s">
        <v>119</v>
      </c>
      <c r="C313">
        <v>2025</v>
      </c>
      <c r="D313" t="s">
        <v>4</v>
      </c>
      <c r="E313" t="s">
        <v>14</v>
      </c>
      <c r="F313" t="s">
        <v>57</v>
      </c>
      <c r="G313">
        <v>268</v>
      </c>
      <c r="H313" t="s">
        <v>49</v>
      </c>
      <c r="I313" t="s">
        <v>6</v>
      </c>
    </row>
    <row r="314" spans="1:9" hidden="1" x14ac:dyDescent="0.3">
      <c r="A314" s="1">
        <v>46009</v>
      </c>
      <c r="B314" t="s">
        <v>119</v>
      </c>
      <c r="C314">
        <v>2025</v>
      </c>
      <c r="D314" t="s">
        <v>113</v>
      </c>
      <c r="E314" t="s">
        <v>14</v>
      </c>
      <c r="F314" t="s">
        <v>113</v>
      </c>
      <c r="G314">
        <v>90</v>
      </c>
      <c r="H314" t="s">
        <v>49</v>
      </c>
      <c r="I314" t="s">
        <v>9</v>
      </c>
    </row>
    <row r="315" spans="1:9" hidden="1" x14ac:dyDescent="0.3">
      <c r="A315" s="1">
        <v>46009</v>
      </c>
      <c r="B315" t="s">
        <v>119</v>
      </c>
      <c r="C315">
        <v>2025</v>
      </c>
      <c r="D315" t="s">
        <v>12</v>
      </c>
      <c r="E315" t="s">
        <v>108</v>
      </c>
      <c r="F315" t="s">
        <v>58</v>
      </c>
      <c r="G315">
        <v>95</v>
      </c>
      <c r="H315" t="s">
        <v>49</v>
      </c>
      <c r="I315" t="s">
        <v>9</v>
      </c>
    </row>
    <row r="316" spans="1:9" hidden="1" x14ac:dyDescent="0.3">
      <c r="A316" s="1">
        <v>46009</v>
      </c>
      <c r="B316" t="s">
        <v>119</v>
      </c>
      <c r="C316">
        <v>2025</v>
      </c>
      <c r="D316" t="s">
        <v>31</v>
      </c>
      <c r="E316" t="s">
        <v>32</v>
      </c>
      <c r="F316" t="s">
        <v>69</v>
      </c>
      <c r="G316">
        <v>650</v>
      </c>
      <c r="H316" t="s">
        <v>49</v>
      </c>
      <c r="I316" t="s">
        <v>9</v>
      </c>
    </row>
    <row r="317" spans="1:9" x14ac:dyDescent="0.3">
      <c r="A317" s="1">
        <v>46010</v>
      </c>
      <c r="B317" t="s">
        <v>119</v>
      </c>
      <c r="C317">
        <v>2025</v>
      </c>
      <c r="D317" t="s">
        <v>55</v>
      </c>
      <c r="E317" t="s">
        <v>41</v>
      </c>
      <c r="F317" t="s">
        <v>56</v>
      </c>
      <c r="G317">
        <v>3250</v>
      </c>
      <c r="H317" t="s">
        <v>45</v>
      </c>
      <c r="I317" t="s">
        <v>3</v>
      </c>
    </row>
    <row r="318" spans="1:9" hidden="1" x14ac:dyDescent="0.3">
      <c r="A318" s="1">
        <v>46010</v>
      </c>
      <c r="B318" t="s">
        <v>119</v>
      </c>
      <c r="C318">
        <v>2025</v>
      </c>
      <c r="D318" t="s">
        <v>59</v>
      </c>
      <c r="E318" t="s">
        <v>60</v>
      </c>
      <c r="F318" t="s">
        <v>61</v>
      </c>
      <c r="G318">
        <v>60</v>
      </c>
      <c r="H318" t="s">
        <v>49</v>
      </c>
      <c r="I318" t="s">
        <v>6</v>
      </c>
    </row>
    <row r="319" spans="1:9" hidden="1" x14ac:dyDescent="0.3">
      <c r="A319" s="1">
        <v>46011</v>
      </c>
      <c r="B319" t="s">
        <v>119</v>
      </c>
      <c r="C319">
        <v>2025</v>
      </c>
      <c r="D319" t="s">
        <v>10</v>
      </c>
      <c r="E319" t="s">
        <v>11</v>
      </c>
      <c r="F319" t="s">
        <v>62</v>
      </c>
      <c r="G319">
        <v>15</v>
      </c>
      <c r="H319" t="s">
        <v>49</v>
      </c>
      <c r="I319" t="s">
        <v>9</v>
      </c>
    </row>
    <row r="320" spans="1:9" hidden="1" x14ac:dyDescent="0.3">
      <c r="A320" s="1">
        <v>46012</v>
      </c>
      <c r="B320" t="s">
        <v>119</v>
      </c>
      <c r="C320">
        <v>2025</v>
      </c>
      <c r="D320" t="s">
        <v>113</v>
      </c>
      <c r="E320" t="s">
        <v>16</v>
      </c>
      <c r="F320" t="s">
        <v>112</v>
      </c>
      <c r="G320">
        <v>250</v>
      </c>
      <c r="H320" t="s">
        <v>49</v>
      </c>
      <c r="I320" t="s">
        <v>9</v>
      </c>
    </row>
    <row r="321" spans="1:9" hidden="1" x14ac:dyDescent="0.3">
      <c r="A321" s="1">
        <v>46012</v>
      </c>
      <c r="B321" t="s">
        <v>119</v>
      </c>
      <c r="C321">
        <v>2025</v>
      </c>
      <c r="D321" t="s">
        <v>79</v>
      </c>
      <c r="E321" t="s">
        <v>76</v>
      </c>
      <c r="F321" t="s">
        <v>80</v>
      </c>
      <c r="G321">
        <v>75</v>
      </c>
      <c r="H321" t="s">
        <v>49</v>
      </c>
      <c r="I321" t="s">
        <v>9</v>
      </c>
    </row>
    <row r="322" spans="1:9" hidden="1" x14ac:dyDescent="0.3">
      <c r="A322" s="1">
        <v>46012</v>
      </c>
      <c r="B322" t="s">
        <v>119</v>
      </c>
      <c r="C322">
        <v>2025</v>
      </c>
      <c r="D322" t="s">
        <v>10</v>
      </c>
      <c r="E322" t="s">
        <v>24</v>
      </c>
      <c r="F322" t="s">
        <v>62</v>
      </c>
      <c r="G322">
        <v>15</v>
      </c>
      <c r="H322" t="s">
        <v>49</v>
      </c>
      <c r="I322" t="s">
        <v>9</v>
      </c>
    </row>
    <row r="323" spans="1:9" hidden="1" x14ac:dyDescent="0.3">
      <c r="A323" s="1">
        <v>46013</v>
      </c>
      <c r="B323" t="s">
        <v>119</v>
      </c>
      <c r="C323">
        <v>2025</v>
      </c>
      <c r="D323" t="s">
        <v>10</v>
      </c>
      <c r="E323" t="s">
        <v>25</v>
      </c>
      <c r="F323" t="s">
        <v>62</v>
      </c>
      <c r="G323">
        <v>12</v>
      </c>
      <c r="H323" t="s">
        <v>49</v>
      </c>
      <c r="I323" t="s">
        <v>9</v>
      </c>
    </row>
    <row r="324" spans="1:9" hidden="1" x14ac:dyDescent="0.3">
      <c r="A324" s="1">
        <v>46014</v>
      </c>
      <c r="B324" t="s">
        <v>119</v>
      </c>
      <c r="C324">
        <v>2025</v>
      </c>
      <c r="D324" t="s">
        <v>100</v>
      </c>
      <c r="E324" t="s">
        <v>16</v>
      </c>
      <c r="F324" t="s">
        <v>63</v>
      </c>
      <c r="G324">
        <v>45</v>
      </c>
      <c r="H324" t="s">
        <v>49</v>
      </c>
      <c r="I324" t="s">
        <v>9</v>
      </c>
    </row>
    <row r="325" spans="1:9" hidden="1" x14ac:dyDescent="0.3">
      <c r="A325" s="1">
        <v>46015</v>
      </c>
      <c r="B325" t="s">
        <v>119</v>
      </c>
      <c r="C325">
        <v>2025</v>
      </c>
      <c r="D325" t="s">
        <v>4</v>
      </c>
      <c r="E325" t="s">
        <v>20</v>
      </c>
      <c r="F325" t="s">
        <v>64</v>
      </c>
      <c r="G325">
        <v>92</v>
      </c>
      <c r="H325" t="s">
        <v>49</v>
      </c>
      <c r="I325" t="s">
        <v>21</v>
      </c>
    </row>
    <row r="326" spans="1:9" hidden="1" x14ac:dyDescent="0.3">
      <c r="A326" s="1">
        <v>46016</v>
      </c>
      <c r="B326" t="s">
        <v>119</v>
      </c>
      <c r="C326">
        <v>2025</v>
      </c>
      <c r="D326" t="s">
        <v>86</v>
      </c>
      <c r="E326" t="s">
        <v>28</v>
      </c>
      <c r="F326" t="s">
        <v>65</v>
      </c>
      <c r="G326">
        <v>55</v>
      </c>
      <c r="H326" t="s">
        <v>49</v>
      </c>
      <c r="I326" t="s">
        <v>27</v>
      </c>
    </row>
    <row r="327" spans="1:9" hidden="1" x14ac:dyDescent="0.3">
      <c r="A327" s="1">
        <v>46017</v>
      </c>
      <c r="B327" t="s">
        <v>119</v>
      </c>
      <c r="C327">
        <v>2025</v>
      </c>
      <c r="D327" t="s">
        <v>12</v>
      </c>
      <c r="E327" t="s">
        <v>108</v>
      </c>
      <c r="F327" t="s">
        <v>66</v>
      </c>
      <c r="G327">
        <v>45</v>
      </c>
      <c r="H327" t="s">
        <v>49</v>
      </c>
      <c r="I327" t="s">
        <v>9</v>
      </c>
    </row>
    <row r="328" spans="1:9" hidden="1" x14ac:dyDescent="0.3">
      <c r="A328" s="1">
        <v>46018</v>
      </c>
      <c r="B328" t="s">
        <v>119</v>
      </c>
      <c r="C328">
        <v>2025</v>
      </c>
      <c r="D328" t="s">
        <v>67</v>
      </c>
      <c r="E328" t="s">
        <v>15</v>
      </c>
      <c r="F328" t="s">
        <v>67</v>
      </c>
      <c r="G328">
        <v>45</v>
      </c>
      <c r="H328" t="s">
        <v>49</v>
      </c>
      <c r="I328" t="s">
        <v>9</v>
      </c>
    </row>
    <row r="329" spans="1:9" x14ac:dyDescent="0.3">
      <c r="A329" s="1"/>
      <c r="G329">
        <f>SUM(G4:G317)</f>
        <v>150006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DA56E-654B-43E5-83C1-0E35122930DB}">
  <sheetPr codeName="Sheet4"/>
  <dimension ref="A1:X170"/>
  <sheetViews>
    <sheetView zoomScaleNormal="100" workbookViewId="0">
      <selection activeCell="E105" sqref="E105:I105"/>
    </sheetView>
  </sheetViews>
  <sheetFormatPr defaultRowHeight="14.4" x14ac:dyDescent="0.3"/>
  <cols>
    <col min="1" max="1" width="14.44140625" bestFit="1" customWidth="1"/>
    <col min="2" max="2" width="15.5546875" bestFit="1" customWidth="1"/>
    <col min="3" max="3" width="7" bestFit="1" customWidth="1"/>
    <col min="4" max="4" width="13.5546875" customWidth="1"/>
    <col min="5" max="5" width="14.6640625" bestFit="1" customWidth="1"/>
    <col min="6" max="6" width="15.5546875" bestFit="1" customWidth="1"/>
    <col min="7" max="7" width="20.109375" customWidth="1"/>
    <col min="8" max="8" width="14.44140625" bestFit="1" customWidth="1"/>
    <col min="9" max="9" width="20.44140625" customWidth="1"/>
    <col min="10" max="10" width="15.5546875" bestFit="1" customWidth="1"/>
    <col min="11" max="12" width="16.109375" bestFit="1" customWidth="1"/>
    <col min="13" max="13" width="14.6640625" bestFit="1" customWidth="1"/>
    <col min="14" max="14" width="14.44140625" bestFit="1" customWidth="1"/>
    <col min="15" max="15" width="10.44140625" customWidth="1"/>
    <col min="16" max="16" width="13.5546875" customWidth="1"/>
    <col min="17" max="17" width="11.21875" customWidth="1"/>
    <col min="18" max="18" width="9.21875" customWidth="1"/>
    <col min="19" max="19" width="15.5546875" bestFit="1" customWidth="1"/>
    <col min="20" max="20" width="15.44140625" bestFit="1" customWidth="1"/>
    <col min="22" max="22" width="14.5546875" customWidth="1"/>
    <col min="23" max="24" width="16.109375" bestFit="1" customWidth="1"/>
  </cols>
  <sheetData>
    <row r="1" spans="1:14" s="31" customFormat="1" x14ac:dyDescent="0.3">
      <c r="A1" s="31" t="s">
        <v>139</v>
      </c>
    </row>
    <row r="3" spans="1:14" x14ac:dyDescent="0.3">
      <c r="A3" s="2" t="s">
        <v>72</v>
      </c>
      <c r="B3" t="s">
        <v>49</v>
      </c>
    </row>
    <row r="4" spans="1:14" x14ac:dyDescent="0.3">
      <c r="A4" s="2" t="s">
        <v>138</v>
      </c>
      <c r="B4" t="s">
        <v>132</v>
      </c>
      <c r="E4" t="s">
        <v>158</v>
      </c>
      <c r="J4" t="s">
        <v>159</v>
      </c>
    </row>
    <row r="6" spans="1:14" x14ac:dyDescent="0.3">
      <c r="A6" s="2" t="s">
        <v>1</v>
      </c>
      <c r="B6" t="s">
        <v>125</v>
      </c>
      <c r="E6" s="7" t="s">
        <v>1</v>
      </c>
      <c r="F6" s="7" t="s">
        <v>153</v>
      </c>
      <c r="G6" s="7" t="s">
        <v>154</v>
      </c>
      <c r="H6" s="7" t="s">
        <v>155</v>
      </c>
      <c r="J6" s="7" t="s">
        <v>1</v>
      </c>
      <c r="K6" s="7" t="s">
        <v>156</v>
      </c>
      <c r="L6" s="7" t="s">
        <v>157</v>
      </c>
      <c r="N6" s="7" t="s">
        <v>160</v>
      </c>
    </row>
    <row r="7" spans="1:14" x14ac:dyDescent="0.3">
      <c r="A7" s="3" t="s">
        <v>10</v>
      </c>
      <c r="B7" s="51">
        <v>456</v>
      </c>
      <c r="E7" s="3" t="s">
        <v>10</v>
      </c>
      <c r="F7">
        <f>IFERROR(GETPIVOTDATA("Amount",$A$6,"Category","Entertainment"),"")</f>
        <v>456</v>
      </c>
      <c r="G7" t="e">
        <f t="shared" ref="G7:G19" si="0">IF(F7="","",IF(COUNT($F$7:$F$19)&lt;5,F7,IF(F7&gt;=LARGE($F$7:$F$19,5),F7,NA())))</f>
        <v>#N/A</v>
      </c>
      <c r="H7">
        <f t="shared" ref="H7:H19" si="1">IF(F7="","",IF(COUNT($F$7:$F$19)&lt;5,NA(),IF(F7&lt;LARGE($F$7:$F$19,5),F7,NA())))</f>
        <v>456</v>
      </c>
      <c r="J7" t="str" cm="1">
        <f t="array" ref="J7:J19">IFERROR(_xlfn.SORTBY(_xlfn._xlws.FILTER($E$7:$E$19,$F$7:$F$19&lt;&gt;""),_xlfn._xlws.FILTER($F$7:$F$19,$F$7:$F$19&lt;&gt;""),-1),"")</f>
        <v>Housing</v>
      </c>
      <c r="K7">
        <f>IF(J7="", NA(),_xlfn.XLOOKUP(J7,$E$7:$E$19,$G$7:$G$19,NA()))</f>
        <v>34544</v>
      </c>
      <c r="L7" t="e">
        <f>IF(J7="", NA(),_xlfn.XLOOKUP(J7,$E$7:$E$19,$H$7:$H$19,NA()))</f>
        <v>#N/A</v>
      </c>
      <c r="N7" s="3" t="str">
        <f>IF(COUNT($F$7:$F$19)=0,"No expense data available for the selected filters","")</f>
        <v/>
      </c>
    </row>
    <row r="8" spans="1:14" x14ac:dyDescent="0.3">
      <c r="A8" s="3" t="s">
        <v>86</v>
      </c>
      <c r="B8" s="51">
        <v>836</v>
      </c>
      <c r="E8" s="3" t="s">
        <v>86</v>
      </c>
      <c r="F8">
        <f>IFERROR(GETPIVOTDATA("Amount",$A$6,"Category","Personal Care"),"")</f>
        <v>836</v>
      </c>
      <c r="G8" t="e">
        <f t="shared" si="0"/>
        <v>#N/A</v>
      </c>
      <c r="H8">
        <f t="shared" si="1"/>
        <v>836</v>
      </c>
      <c r="J8" t="str">
        <v>Groceries</v>
      </c>
      <c r="K8">
        <f t="shared" ref="K8:K19" si="2">IF(J8="", NA(),_xlfn.XLOOKUP(J8,$E$7:$E$19,$G$7:$G$19,NA()))</f>
        <v>7980</v>
      </c>
      <c r="L8" t="e">
        <f t="shared" ref="L8:L19" si="3">IF(J8="", NA(),_xlfn.XLOOKUP(J8,$E$7:$E$19,$H$7:$H$19,NA()))</f>
        <v>#N/A</v>
      </c>
      <c r="N8" s="3"/>
    </row>
    <row r="9" spans="1:14" x14ac:dyDescent="0.3">
      <c r="A9" s="3" t="s">
        <v>100</v>
      </c>
      <c r="B9" s="51">
        <v>968</v>
      </c>
      <c r="E9" s="3" t="s">
        <v>100</v>
      </c>
      <c r="F9">
        <f>IFERROR(GETPIVOTDATA("Amount",$A$6,"Category","Clothing"),"")</f>
        <v>968</v>
      </c>
      <c r="G9" t="e">
        <f t="shared" si="0"/>
        <v>#N/A</v>
      </c>
      <c r="H9">
        <f t="shared" si="1"/>
        <v>968</v>
      </c>
      <c r="J9" t="str">
        <v>Healthcare</v>
      </c>
      <c r="K9">
        <f t="shared" si="2"/>
        <v>3822</v>
      </c>
      <c r="L9" t="e">
        <f t="shared" si="3"/>
        <v>#N/A</v>
      </c>
      <c r="N9" s="3"/>
    </row>
    <row r="10" spans="1:14" x14ac:dyDescent="0.3">
      <c r="A10" s="3" t="s">
        <v>96</v>
      </c>
      <c r="B10" s="51">
        <v>1220</v>
      </c>
      <c r="E10" s="3" t="s">
        <v>96</v>
      </c>
      <c r="F10">
        <f>IFERROR(GETPIVOTDATA("Amount",$A$6,"Category","Emergency Fund"),"")</f>
        <v>1220</v>
      </c>
      <c r="G10" t="e">
        <f t="shared" si="0"/>
        <v>#N/A</v>
      </c>
      <c r="H10">
        <f t="shared" si="1"/>
        <v>1220</v>
      </c>
      <c r="J10" t="str">
        <v>Utilities</v>
      </c>
      <c r="K10">
        <f t="shared" si="2"/>
        <v>3796</v>
      </c>
      <c r="L10" t="e">
        <f t="shared" si="3"/>
        <v>#N/A</v>
      </c>
      <c r="N10" s="3"/>
    </row>
    <row r="11" spans="1:14" x14ac:dyDescent="0.3">
      <c r="A11" s="3" t="s">
        <v>113</v>
      </c>
      <c r="B11" s="51">
        <v>1374</v>
      </c>
      <c r="E11" s="3" t="s">
        <v>113</v>
      </c>
      <c r="F11">
        <f>IFERROR(GETPIVOTDATA("Amount",$A$6,"Category","Home Goods"),"")</f>
        <v>1374</v>
      </c>
      <c r="G11" t="e">
        <f t="shared" si="0"/>
        <v>#N/A</v>
      </c>
      <c r="H11">
        <f t="shared" si="1"/>
        <v>1374</v>
      </c>
      <c r="J11" t="str">
        <v>Travel</v>
      </c>
      <c r="K11">
        <f t="shared" si="2"/>
        <v>3410</v>
      </c>
      <c r="L11" t="e">
        <f t="shared" si="3"/>
        <v>#N/A</v>
      </c>
      <c r="N11" s="3"/>
    </row>
    <row r="12" spans="1:14" x14ac:dyDescent="0.3">
      <c r="A12" s="3" t="s">
        <v>12</v>
      </c>
      <c r="B12" s="51">
        <v>1765</v>
      </c>
      <c r="E12" s="3" t="s">
        <v>12</v>
      </c>
      <c r="F12">
        <f>IFERROR(GETPIVOTDATA("Amount",$A$6,"Category","Dining"),"")</f>
        <v>1765</v>
      </c>
      <c r="G12" t="e">
        <f t="shared" si="0"/>
        <v>#N/A</v>
      </c>
      <c r="H12">
        <f t="shared" si="1"/>
        <v>1765</v>
      </c>
      <c r="J12" t="str">
        <v>Transportation</v>
      </c>
      <c r="K12" t="e">
        <f t="shared" si="2"/>
        <v>#N/A</v>
      </c>
      <c r="L12">
        <f t="shared" si="3"/>
        <v>3279</v>
      </c>
      <c r="N12" s="3"/>
    </row>
    <row r="13" spans="1:14" x14ac:dyDescent="0.3">
      <c r="A13" s="3" t="s">
        <v>59</v>
      </c>
      <c r="B13" s="51">
        <v>1830</v>
      </c>
      <c r="E13" s="3" t="s">
        <v>59</v>
      </c>
      <c r="F13">
        <f>IFERROR(GETPIVOTDATA("Amount",$A$6,"Category","Miscellaneous"),"")</f>
        <v>1830</v>
      </c>
      <c r="G13" t="e">
        <f t="shared" si="0"/>
        <v>#N/A</v>
      </c>
      <c r="H13">
        <f t="shared" si="1"/>
        <v>1830</v>
      </c>
      <c r="J13" t="str">
        <v>Miscellaneous</v>
      </c>
      <c r="K13" t="e">
        <f t="shared" si="2"/>
        <v>#N/A</v>
      </c>
      <c r="L13">
        <f t="shared" si="3"/>
        <v>1830</v>
      </c>
      <c r="N13" s="3"/>
    </row>
    <row r="14" spans="1:14" x14ac:dyDescent="0.3">
      <c r="A14" s="3" t="s">
        <v>79</v>
      </c>
      <c r="B14" s="51">
        <v>3279</v>
      </c>
      <c r="E14" s="3" t="s">
        <v>79</v>
      </c>
      <c r="F14">
        <f>IFERROR(GETPIVOTDATA("Amount",$A$6,"Category","Transportation"),"")</f>
        <v>3279</v>
      </c>
      <c r="G14" t="e">
        <f t="shared" si="0"/>
        <v>#N/A</v>
      </c>
      <c r="H14">
        <f t="shared" si="1"/>
        <v>3279</v>
      </c>
      <c r="J14" t="str">
        <v>Dining</v>
      </c>
      <c r="K14" t="e">
        <f t="shared" si="2"/>
        <v>#N/A</v>
      </c>
      <c r="L14">
        <f t="shared" si="3"/>
        <v>1765</v>
      </c>
      <c r="N14" s="3"/>
    </row>
    <row r="15" spans="1:14" x14ac:dyDescent="0.3">
      <c r="A15" s="3" t="s">
        <v>31</v>
      </c>
      <c r="B15" s="51">
        <v>3410</v>
      </c>
      <c r="E15" s="3" t="s">
        <v>31</v>
      </c>
      <c r="F15">
        <f>IFERROR(GETPIVOTDATA("Amount",$A$6,"Category","Travel"), "")</f>
        <v>3410</v>
      </c>
      <c r="G15">
        <f t="shared" si="0"/>
        <v>3410</v>
      </c>
      <c r="H15" t="e">
        <f t="shared" si="1"/>
        <v>#N/A</v>
      </c>
      <c r="J15" t="str">
        <v>Home Goods</v>
      </c>
      <c r="K15" t="e">
        <f t="shared" si="2"/>
        <v>#N/A</v>
      </c>
      <c r="L15">
        <f t="shared" si="3"/>
        <v>1374</v>
      </c>
      <c r="N15" s="3"/>
    </row>
    <row r="16" spans="1:14" x14ac:dyDescent="0.3">
      <c r="A16" s="3" t="s">
        <v>7</v>
      </c>
      <c r="B16" s="51">
        <v>3796</v>
      </c>
      <c r="E16" s="3" t="s">
        <v>7</v>
      </c>
      <c r="F16">
        <f>IFERROR(GETPIVOTDATA("Amount",$A$6,"Category","Utilities"),"")</f>
        <v>3796</v>
      </c>
      <c r="G16">
        <f t="shared" si="0"/>
        <v>3796</v>
      </c>
      <c r="H16" t="e">
        <f t="shared" si="1"/>
        <v>#N/A</v>
      </c>
      <c r="J16" t="str">
        <v>Emergency Fund</v>
      </c>
      <c r="K16" t="e">
        <f t="shared" si="2"/>
        <v>#N/A</v>
      </c>
      <c r="L16">
        <f t="shared" si="3"/>
        <v>1220</v>
      </c>
      <c r="N16" s="3"/>
    </row>
    <row r="17" spans="1:14" x14ac:dyDescent="0.3">
      <c r="A17" s="3" t="s">
        <v>67</v>
      </c>
      <c r="B17" s="51">
        <v>3822</v>
      </c>
      <c r="E17" s="3" t="s">
        <v>67</v>
      </c>
      <c r="F17">
        <f>IFERROR(GETPIVOTDATA("Amount",$A$6,"Category","Healthcare"),"")</f>
        <v>3822</v>
      </c>
      <c r="G17">
        <f t="shared" si="0"/>
        <v>3822</v>
      </c>
      <c r="H17" t="e">
        <f t="shared" si="1"/>
        <v>#N/A</v>
      </c>
      <c r="J17" t="str">
        <v>Clothing</v>
      </c>
      <c r="K17" t="e">
        <f t="shared" si="2"/>
        <v>#N/A</v>
      </c>
      <c r="L17">
        <f t="shared" si="3"/>
        <v>968</v>
      </c>
      <c r="N17" s="3"/>
    </row>
    <row r="18" spans="1:14" x14ac:dyDescent="0.3">
      <c r="A18" s="3" t="s">
        <v>4</v>
      </c>
      <c r="B18" s="51">
        <v>7980</v>
      </c>
      <c r="E18" s="3" t="s">
        <v>4</v>
      </c>
      <c r="F18">
        <f>IFERROR(GETPIVOTDATA("Amount",$A$6,"Category","Groceries"),"")</f>
        <v>7980</v>
      </c>
      <c r="G18">
        <f t="shared" si="0"/>
        <v>7980</v>
      </c>
      <c r="H18" t="e">
        <f t="shared" si="1"/>
        <v>#N/A</v>
      </c>
      <c r="J18" t="str">
        <v>Personal Care</v>
      </c>
      <c r="K18" t="e">
        <f t="shared" si="2"/>
        <v>#N/A</v>
      </c>
      <c r="L18">
        <f t="shared" si="3"/>
        <v>836</v>
      </c>
      <c r="N18" s="3"/>
    </row>
    <row r="19" spans="1:14" x14ac:dyDescent="0.3">
      <c r="A19" s="3" t="s">
        <v>74</v>
      </c>
      <c r="B19" s="51">
        <v>34544</v>
      </c>
      <c r="E19" s="3" t="s">
        <v>74</v>
      </c>
      <c r="F19">
        <f>IFERROR(GETPIVOTDATA("Amount",$A$6,"Category","Housing"),"")</f>
        <v>34544</v>
      </c>
      <c r="G19">
        <f t="shared" si="0"/>
        <v>34544</v>
      </c>
      <c r="H19" t="e">
        <f t="shared" si="1"/>
        <v>#N/A</v>
      </c>
      <c r="J19" t="str">
        <v>Entertainment</v>
      </c>
      <c r="K19" t="e">
        <f t="shared" si="2"/>
        <v>#N/A</v>
      </c>
      <c r="L19">
        <f t="shared" si="3"/>
        <v>456</v>
      </c>
      <c r="N19" s="3"/>
    </row>
    <row r="20" spans="1:14" x14ac:dyDescent="0.3">
      <c r="A20" s="3" t="s">
        <v>29</v>
      </c>
      <c r="B20" s="51">
        <v>65280</v>
      </c>
    </row>
    <row r="22" spans="1:14" x14ac:dyDescent="0.3">
      <c r="A22" s="31" t="s">
        <v>161</v>
      </c>
      <c r="B22" s="31"/>
      <c r="C22" s="31"/>
      <c r="D22" s="31"/>
      <c r="E22" s="31"/>
      <c r="F22" s="31"/>
      <c r="G22" s="31"/>
      <c r="H22" s="31"/>
      <c r="I22" s="31"/>
      <c r="J22" s="31"/>
      <c r="K22" s="31"/>
      <c r="L22" s="31"/>
      <c r="M22" s="31"/>
      <c r="N22" s="31"/>
    </row>
    <row r="24" spans="1:14" x14ac:dyDescent="0.3">
      <c r="A24" s="2" t="s">
        <v>72</v>
      </c>
      <c r="B24" t="s">
        <v>49</v>
      </c>
    </row>
    <row r="26" spans="1:14" x14ac:dyDescent="0.3">
      <c r="A26" s="2" t="s">
        <v>125</v>
      </c>
      <c r="B26" s="2" t="s">
        <v>137</v>
      </c>
      <c r="E26" t="s">
        <v>152</v>
      </c>
    </row>
    <row r="27" spans="1:14" x14ac:dyDescent="0.3">
      <c r="A27" s="2" t="s">
        <v>149</v>
      </c>
      <c r="B27" t="s">
        <v>132</v>
      </c>
      <c r="C27" t="s">
        <v>131</v>
      </c>
    </row>
    <row r="28" spans="1:14" x14ac:dyDescent="0.3">
      <c r="A28" s="3">
        <v>2025</v>
      </c>
      <c r="B28" s="51"/>
      <c r="C28" s="51"/>
      <c r="E28" s="7" t="s">
        <v>149</v>
      </c>
      <c r="F28" s="7" t="s">
        <v>132</v>
      </c>
      <c r="G28" s="7" t="s">
        <v>131</v>
      </c>
      <c r="H28" s="7" t="s">
        <v>150</v>
      </c>
      <c r="I28" s="7" t="s">
        <v>151</v>
      </c>
      <c r="K28" s="7" t="s">
        <v>160</v>
      </c>
    </row>
    <row r="29" spans="1:14" x14ac:dyDescent="0.3">
      <c r="A29" s="23" t="s">
        <v>33</v>
      </c>
      <c r="B29" s="51">
        <v>7483</v>
      </c>
      <c r="C29" s="51">
        <v>7727</v>
      </c>
      <c r="E29" s="23" t="s">
        <v>33</v>
      </c>
      <c r="F29">
        <f>IFERROR(GETPIVOTDATA("Amount",$A$26,"Year",2025,"Month","Jan","Data Type","Actual"), "")</f>
        <v>7483</v>
      </c>
      <c r="G29">
        <f>IFERROR(GETPIVOTDATA("Amount",$A$26,"Year",2025,"Month","Jan","Data Type","Budget"),"")</f>
        <v>7727</v>
      </c>
      <c r="H29">
        <f t="shared" ref="H29:H40" si="4">IF(F29="","",F29)</f>
        <v>7483</v>
      </c>
      <c r="I29">
        <f t="shared" ref="I29:I40" si="5">IF(G29="","",G29)</f>
        <v>7727</v>
      </c>
      <c r="K29" t="str">
        <f>IF(COUNTIF($F$29:$F$40,"&gt;0")+COUNTIF($G$29:$G$40,"&gt;0")=0,"No expense data available for the selected filters","")</f>
        <v/>
      </c>
    </row>
    <row r="30" spans="1:14" x14ac:dyDescent="0.3">
      <c r="A30" s="23" t="s">
        <v>34</v>
      </c>
      <c r="B30" s="51">
        <v>4607</v>
      </c>
      <c r="C30" s="51">
        <v>4852</v>
      </c>
      <c r="E30" s="23" t="s">
        <v>34</v>
      </c>
      <c r="F30">
        <f>IFERROR(GETPIVOTDATA("Amount",$A$26,"Year",2025,"Month","Feb","Data Type","Actual"), "")</f>
        <v>4607</v>
      </c>
      <c r="G30">
        <f>IFERROR(GETPIVOTDATA("Amount",$A$26,"Year",2025,"Month","Feb","Data Type","Budget"),"")</f>
        <v>4852</v>
      </c>
      <c r="H30">
        <f t="shared" si="4"/>
        <v>4607</v>
      </c>
      <c r="I30">
        <f t="shared" si="5"/>
        <v>4852</v>
      </c>
    </row>
    <row r="31" spans="1:14" x14ac:dyDescent="0.3">
      <c r="A31" s="23" t="s">
        <v>35</v>
      </c>
      <c r="B31" s="51">
        <v>5747</v>
      </c>
      <c r="C31" s="51">
        <v>6102</v>
      </c>
      <c r="E31" s="23" t="s">
        <v>35</v>
      </c>
      <c r="F31">
        <f>IFERROR(GETPIVOTDATA("Amount",$A$26,"Year",2025,"Month","Mar","Data Type","Actual"),"")</f>
        <v>5747</v>
      </c>
      <c r="G31">
        <f>IFERROR(GETPIVOTDATA("Amount",$A$26,"Year",2025,"Month","Mar","Data Type","Budget"),"")</f>
        <v>6102</v>
      </c>
      <c r="H31">
        <f t="shared" si="4"/>
        <v>5747</v>
      </c>
      <c r="I31">
        <f t="shared" si="5"/>
        <v>6102</v>
      </c>
    </row>
    <row r="32" spans="1:14" x14ac:dyDescent="0.3">
      <c r="A32" s="23" t="s">
        <v>36</v>
      </c>
      <c r="B32" s="51">
        <v>4627</v>
      </c>
      <c r="C32" s="51">
        <v>4797</v>
      </c>
      <c r="E32" s="23" t="s">
        <v>36</v>
      </c>
      <c r="F32">
        <f>IFERROR(GETPIVOTDATA("Amount",$A$26,"Year",2025,"Month","Apr","Data Type","Actual"),"")</f>
        <v>4627</v>
      </c>
      <c r="G32">
        <f>IFERROR(GETPIVOTDATA("Amount",$A$26,"Year",2025,"Month","Apr","Data Type","Budget"),"")</f>
        <v>4797</v>
      </c>
      <c r="H32">
        <f t="shared" si="4"/>
        <v>4627</v>
      </c>
      <c r="I32">
        <f t="shared" si="5"/>
        <v>4797</v>
      </c>
    </row>
    <row r="33" spans="1:14" x14ac:dyDescent="0.3">
      <c r="A33" s="23" t="s">
        <v>30</v>
      </c>
      <c r="B33" s="51">
        <v>4528</v>
      </c>
      <c r="C33" s="51">
        <v>4887</v>
      </c>
      <c r="E33" s="23" t="s">
        <v>30</v>
      </c>
      <c r="F33">
        <f>IFERROR(GETPIVOTDATA("Amount",$A$26,"Year",2025,"Month","May","Data Type","Actual"),"")</f>
        <v>4528</v>
      </c>
      <c r="G33">
        <f>IFERROR(GETPIVOTDATA("Amount",$A$26,"Year",2025,"Month","May","Data Type","Budget"),"")</f>
        <v>4887</v>
      </c>
      <c r="H33">
        <f t="shared" si="4"/>
        <v>4528</v>
      </c>
      <c r="I33">
        <f t="shared" si="5"/>
        <v>4887</v>
      </c>
    </row>
    <row r="34" spans="1:14" x14ac:dyDescent="0.3">
      <c r="A34" s="23" t="s">
        <v>37</v>
      </c>
      <c r="B34" s="51">
        <v>5744</v>
      </c>
      <c r="C34" s="51">
        <v>5862</v>
      </c>
      <c r="E34" s="23" t="s">
        <v>37</v>
      </c>
      <c r="F34">
        <f>IFERROR(GETPIVOTDATA("Amount",$A$26,"Year",2025,"Month","Jun","Data Type","Actual"),"")</f>
        <v>5744</v>
      </c>
      <c r="G34">
        <f>IFERROR(GETPIVOTDATA("Amount",$A$26,"Year",2025,"Month","Jun","Data Type","Budget"),"")</f>
        <v>5862</v>
      </c>
      <c r="H34">
        <f t="shared" si="4"/>
        <v>5744</v>
      </c>
      <c r="I34">
        <f t="shared" si="5"/>
        <v>5862</v>
      </c>
    </row>
    <row r="35" spans="1:14" x14ac:dyDescent="0.3">
      <c r="A35" s="23" t="s">
        <v>114</v>
      </c>
      <c r="B35" s="51">
        <v>6707</v>
      </c>
      <c r="C35" s="51">
        <v>6697</v>
      </c>
      <c r="E35" s="23" t="s">
        <v>114</v>
      </c>
      <c r="F35">
        <f>IFERROR(GETPIVOTDATA("Amount",$A$26,"Year",2025,"Month","Jul","Data Type","Actual"),"")</f>
        <v>6707</v>
      </c>
      <c r="G35">
        <f>IFERROR(GETPIVOTDATA("Amount",$A$26,"Year",2025,"Month","Jul","Data Type","Budget"),"")</f>
        <v>6697</v>
      </c>
      <c r="H35">
        <f t="shared" si="4"/>
        <v>6707</v>
      </c>
      <c r="I35">
        <f t="shared" si="5"/>
        <v>6697</v>
      </c>
    </row>
    <row r="36" spans="1:14" x14ac:dyDescent="0.3">
      <c r="A36" s="23" t="s">
        <v>115</v>
      </c>
      <c r="B36" s="51">
        <v>4591</v>
      </c>
      <c r="C36" s="51">
        <v>4967</v>
      </c>
      <c r="E36" s="23" t="s">
        <v>115</v>
      </c>
      <c r="F36">
        <f>IFERROR(GETPIVOTDATA("Amount",$A$26,"Year",2025,"Month","Aug","Data Type","Actual"),"")</f>
        <v>4591</v>
      </c>
      <c r="G36">
        <f>IFERROR(GETPIVOTDATA("Amount",$A$26,"Year",2025,"Month","Aug","Data Type","Budget"),"")</f>
        <v>4967</v>
      </c>
      <c r="H36">
        <f t="shared" si="4"/>
        <v>4591</v>
      </c>
      <c r="I36">
        <f t="shared" si="5"/>
        <v>4967</v>
      </c>
    </row>
    <row r="37" spans="1:14" x14ac:dyDescent="0.3">
      <c r="A37" s="23" t="s">
        <v>116</v>
      </c>
      <c r="B37" s="51">
        <v>5003</v>
      </c>
      <c r="C37" s="51">
        <v>4852</v>
      </c>
      <c r="E37" s="23" t="s">
        <v>116</v>
      </c>
      <c r="F37">
        <f>IFERROR(GETPIVOTDATA("Amount",$A$26,"Year",2025,"Month","Sep","Data Type","Actual"),"")</f>
        <v>5003</v>
      </c>
      <c r="G37">
        <f>IFERROR(GETPIVOTDATA("Amount",$A$26,"Year",2025,"Month","Sep","Data Type","Budget"),"")</f>
        <v>4852</v>
      </c>
      <c r="H37">
        <f t="shared" si="4"/>
        <v>5003</v>
      </c>
      <c r="I37">
        <f t="shared" si="5"/>
        <v>4852</v>
      </c>
    </row>
    <row r="38" spans="1:14" x14ac:dyDescent="0.3">
      <c r="A38" s="23" t="s">
        <v>117</v>
      </c>
      <c r="B38" s="51">
        <v>4794</v>
      </c>
      <c r="C38" s="51">
        <v>5182</v>
      </c>
      <c r="E38" s="23" t="s">
        <v>117</v>
      </c>
      <c r="F38">
        <f>IFERROR(GETPIVOTDATA("Amount",$A$26,"Year",2025,"Month","Oct","Data Type","Actual"),"")</f>
        <v>4794</v>
      </c>
      <c r="G38">
        <f>IFERROR(GETPIVOTDATA("Amount",$A$26,"Year",2025,"Month","Oct","Data Type","Budget"),"")</f>
        <v>5182</v>
      </c>
      <c r="H38">
        <f t="shared" si="4"/>
        <v>4794</v>
      </c>
      <c r="I38">
        <f t="shared" si="5"/>
        <v>5182</v>
      </c>
    </row>
    <row r="39" spans="1:14" x14ac:dyDescent="0.3">
      <c r="A39" s="23" t="s">
        <v>118</v>
      </c>
      <c r="B39" s="51">
        <v>5664</v>
      </c>
      <c r="C39" s="51">
        <v>5912</v>
      </c>
      <c r="E39" s="23" t="s">
        <v>118</v>
      </c>
      <c r="F39">
        <f>IFERROR(GETPIVOTDATA("Amount",$A$26,"Year",2025,"Month","Nov","Data Type","Actual"),"")</f>
        <v>5664</v>
      </c>
      <c r="G39">
        <f>IFERROR(GETPIVOTDATA("Amount",$A$26,"Year",2025,"Month","Nov","Data Type","Budget"),"")</f>
        <v>5912</v>
      </c>
      <c r="H39">
        <f t="shared" si="4"/>
        <v>5664</v>
      </c>
      <c r="I39">
        <f t="shared" si="5"/>
        <v>5912</v>
      </c>
    </row>
    <row r="40" spans="1:14" x14ac:dyDescent="0.3">
      <c r="A40" s="23" t="s">
        <v>119</v>
      </c>
      <c r="B40" s="51">
        <v>5785</v>
      </c>
      <c r="C40" s="51">
        <v>6432</v>
      </c>
      <c r="E40" s="23" t="s">
        <v>119</v>
      </c>
      <c r="F40">
        <f>IFERROR(GETPIVOTDATA("Amount",$A$26,"Year",2025,"Month","Dec","Data Type","Actual"),"")</f>
        <v>5785</v>
      </c>
      <c r="G40">
        <f>IFERROR(GETPIVOTDATA("Amount",$A$26,"Year",2025,"Month","Dec","Data Type","Budget"),"")</f>
        <v>6432</v>
      </c>
      <c r="H40">
        <f t="shared" si="4"/>
        <v>5785</v>
      </c>
      <c r="I40">
        <f t="shared" si="5"/>
        <v>6432</v>
      </c>
    </row>
    <row r="41" spans="1:14" x14ac:dyDescent="0.3">
      <c r="A41" s="3" t="s">
        <v>29</v>
      </c>
      <c r="B41" s="51">
        <v>65280</v>
      </c>
      <c r="C41" s="51">
        <v>68269</v>
      </c>
    </row>
    <row r="43" spans="1:14" x14ac:dyDescent="0.3">
      <c r="A43" s="31" t="s">
        <v>143</v>
      </c>
      <c r="B43" s="31"/>
      <c r="C43" s="31"/>
      <c r="D43" s="31"/>
      <c r="E43" s="31"/>
      <c r="F43" s="31"/>
      <c r="G43" s="31"/>
      <c r="H43" s="31"/>
      <c r="I43" s="31"/>
      <c r="J43" s="31"/>
      <c r="K43" s="31"/>
      <c r="L43" s="31"/>
      <c r="M43" s="31"/>
      <c r="N43" s="31"/>
    </row>
    <row r="45" spans="1:14" x14ac:dyDescent="0.3">
      <c r="A45" s="2" t="s">
        <v>72</v>
      </c>
      <c r="B45" t="s">
        <v>49</v>
      </c>
    </row>
    <row r="46" spans="1:14" x14ac:dyDescent="0.3">
      <c r="A46" s="2" t="s">
        <v>138</v>
      </c>
      <c r="B46" t="s">
        <v>132</v>
      </c>
      <c r="E46" t="s">
        <v>152</v>
      </c>
      <c r="H46" t="s">
        <v>162</v>
      </c>
    </row>
    <row r="48" spans="1:14" x14ac:dyDescent="0.3">
      <c r="A48" s="2" t="s">
        <v>1</v>
      </c>
      <c r="B48" t="s">
        <v>125</v>
      </c>
      <c r="E48" s="7" t="s">
        <v>1</v>
      </c>
      <c r="F48" s="7" t="s">
        <v>153</v>
      </c>
      <c r="H48" s="7" t="s">
        <v>1</v>
      </c>
      <c r="I48" s="7" t="s">
        <v>2</v>
      </c>
      <c r="K48" s="7" t="s">
        <v>160</v>
      </c>
    </row>
    <row r="49" spans="1:15" x14ac:dyDescent="0.3">
      <c r="A49" s="3" t="s">
        <v>74</v>
      </c>
      <c r="B49" s="51">
        <v>34544</v>
      </c>
      <c r="E49" s="3" t="s">
        <v>74</v>
      </c>
      <c r="F49">
        <f>IFERROR(GETPIVOTDATA("Amount",$A$49,"Category",E49),0)</f>
        <v>34544</v>
      </c>
      <c r="H49" t="str" cm="1">
        <f t="array" ref="H49:I61">_xlfn._xlws.FILTER(E49:F61, F49:F61&gt;0)</f>
        <v>Housing</v>
      </c>
      <c r="I49">
        <v>34544</v>
      </c>
      <c r="K49" t="str">
        <f>IF(SUM($F$49:$F$61)=0,"No expense data available for the selected filters","")</f>
        <v/>
      </c>
    </row>
    <row r="50" spans="1:15" x14ac:dyDescent="0.3">
      <c r="A50" s="3" t="s">
        <v>4</v>
      </c>
      <c r="B50" s="51">
        <v>7980</v>
      </c>
      <c r="E50" s="3" t="s">
        <v>4</v>
      </c>
      <c r="F50">
        <f t="shared" ref="F50:F61" si="6">IFERROR(GETPIVOTDATA("Amount",$A$49,"Category",E50),0)</f>
        <v>7980</v>
      </c>
      <c r="H50" t="str">
        <v>Groceries</v>
      </c>
      <c r="I50">
        <v>7980</v>
      </c>
    </row>
    <row r="51" spans="1:15" x14ac:dyDescent="0.3">
      <c r="A51" s="3" t="s">
        <v>67</v>
      </c>
      <c r="B51" s="51">
        <v>3822</v>
      </c>
      <c r="E51" s="3" t="s">
        <v>67</v>
      </c>
      <c r="F51">
        <f t="shared" si="6"/>
        <v>3822</v>
      </c>
      <c r="H51" t="str">
        <v>Healthcare</v>
      </c>
      <c r="I51">
        <v>3822</v>
      </c>
    </row>
    <row r="52" spans="1:15" x14ac:dyDescent="0.3">
      <c r="A52" s="3" t="s">
        <v>7</v>
      </c>
      <c r="B52" s="51">
        <v>3796</v>
      </c>
      <c r="E52" s="3" t="s">
        <v>7</v>
      </c>
      <c r="F52">
        <f t="shared" si="6"/>
        <v>3796</v>
      </c>
      <c r="H52" t="str">
        <v>Utilities</v>
      </c>
      <c r="I52">
        <v>3796</v>
      </c>
    </row>
    <row r="53" spans="1:15" x14ac:dyDescent="0.3">
      <c r="A53" s="3" t="s">
        <v>31</v>
      </c>
      <c r="B53" s="51">
        <v>3410</v>
      </c>
      <c r="E53" s="3" t="s">
        <v>31</v>
      </c>
      <c r="F53">
        <f t="shared" si="6"/>
        <v>3410</v>
      </c>
      <c r="H53" t="str">
        <v>Travel</v>
      </c>
      <c r="I53">
        <v>3410</v>
      </c>
    </row>
    <row r="54" spans="1:15" x14ac:dyDescent="0.3">
      <c r="A54" s="3" t="s">
        <v>79</v>
      </c>
      <c r="B54" s="51">
        <v>3279</v>
      </c>
      <c r="E54" s="3" t="s">
        <v>79</v>
      </c>
      <c r="F54">
        <f t="shared" si="6"/>
        <v>3279</v>
      </c>
      <c r="H54" t="str">
        <v>Transportation</v>
      </c>
      <c r="I54">
        <v>3279</v>
      </c>
    </row>
    <row r="55" spans="1:15" x14ac:dyDescent="0.3">
      <c r="A55" s="3" t="s">
        <v>59</v>
      </c>
      <c r="B55" s="51">
        <v>1830</v>
      </c>
      <c r="E55" s="3" t="s">
        <v>59</v>
      </c>
      <c r="F55">
        <f t="shared" si="6"/>
        <v>1830</v>
      </c>
      <c r="H55" t="str">
        <v>Miscellaneous</v>
      </c>
      <c r="I55">
        <v>1830</v>
      </c>
    </row>
    <row r="56" spans="1:15" x14ac:dyDescent="0.3">
      <c r="A56" s="3" t="s">
        <v>12</v>
      </c>
      <c r="B56" s="51">
        <v>1765</v>
      </c>
      <c r="E56" s="3" t="s">
        <v>12</v>
      </c>
      <c r="F56">
        <f t="shared" si="6"/>
        <v>1765</v>
      </c>
      <c r="H56" t="str">
        <v>Dining</v>
      </c>
      <c r="I56">
        <v>1765</v>
      </c>
    </row>
    <row r="57" spans="1:15" x14ac:dyDescent="0.3">
      <c r="A57" s="3" t="s">
        <v>113</v>
      </c>
      <c r="B57" s="51">
        <v>1374</v>
      </c>
      <c r="E57" s="3" t="s">
        <v>113</v>
      </c>
      <c r="F57">
        <f t="shared" si="6"/>
        <v>1374</v>
      </c>
      <c r="H57" t="str">
        <v>Home Goods</v>
      </c>
      <c r="I57">
        <v>1374</v>
      </c>
    </row>
    <row r="58" spans="1:15" x14ac:dyDescent="0.3">
      <c r="A58" s="3" t="s">
        <v>96</v>
      </c>
      <c r="B58" s="51">
        <v>1220</v>
      </c>
      <c r="E58" s="3" t="s">
        <v>96</v>
      </c>
      <c r="F58">
        <f t="shared" si="6"/>
        <v>1220</v>
      </c>
      <c r="H58" t="str">
        <v>Emergency Fund</v>
      </c>
      <c r="I58">
        <v>1220</v>
      </c>
    </row>
    <row r="59" spans="1:15" x14ac:dyDescent="0.3">
      <c r="A59" s="3" t="s">
        <v>100</v>
      </c>
      <c r="B59" s="51">
        <v>968</v>
      </c>
      <c r="E59" s="3" t="s">
        <v>100</v>
      </c>
      <c r="F59">
        <f t="shared" si="6"/>
        <v>968</v>
      </c>
      <c r="H59" t="str">
        <v>Clothing</v>
      </c>
      <c r="I59">
        <v>968</v>
      </c>
    </row>
    <row r="60" spans="1:15" x14ac:dyDescent="0.3">
      <c r="A60" s="3" t="s">
        <v>86</v>
      </c>
      <c r="B60" s="51">
        <v>836</v>
      </c>
      <c r="E60" s="3" t="s">
        <v>86</v>
      </c>
      <c r="F60">
        <f t="shared" si="6"/>
        <v>836</v>
      </c>
      <c r="H60" t="str">
        <v>Personal Care</v>
      </c>
      <c r="I60">
        <v>836</v>
      </c>
    </row>
    <row r="61" spans="1:15" x14ac:dyDescent="0.3">
      <c r="A61" s="3" t="s">
        <v>10</v>
      </c>
      <c r="B61" s="51">
        <v>456</v>
      </c>
      <c r="E61" s="3" t="s">
        <v>10</v>
      </c>
      <c r="F61">
        <f t="shared" si="6"/>
        <v>456</v>
      </c>
      <c r="H61" t="str">
        <v>Entertainment</v>
      </c>
      <c r="I61">
        <v>456</v>
      </c>
    </row>
    <row r="64" spans="1:15" x14ac:dyDescent="0.3">
      <c r="A64" s="31" t="s">
        <v>140</v>
      </c>
      <c r="B64" s="31"/>
      <c r="C64" s="31"/>
      <c r="D64" s="31"/>
      <c r="E64" s="31"/>
      <c r="F64" s="31"/>
      <c r="G64" s="31"/>
      <c r="H64" s="31"/>
      <c r="I64" s="31"/>
      <c r="J64" s="31"/>
      <c r="K64" s="31"/>
      <c r="L64" s="31"/>
      <c r="M64" s="31"/>
      <c r="N64" s="31"/>
      <c r="O64" s="31"/>
    </row>
    <row r="67" spans="1:9" x14ac:dyDescent="0.3">
      <c r="A67" s="2" t="s">
        <v>72</v>
      </c>
      <c r="B67" t="s">
        <v>45</v>
      </c>
    </row>
    <row r="69" spans="1:9" x14ac:dyDescent="0.3">
      <c r="A69" s="2" t="s">
        <v>125</v>
      </c>
      <c r="B69" s="2" t="s">
        <v>137</v>
      </c>
    </row>
    <row r="70" spans="1:9" x14ac:dyDescent="0.3">
      <c r="A70" s="2" t="s">
        <v>102</v>
      </c>
      <c r="B70" t="s">
        <v>132</v>
      </c>
      <c r="C70" t="s">
        <v>131</v>
      </c>
    </row>
    <row r="71" spans="1:9" x14ac:dyDescent="0.3">
      <c r="A71" s="3">
        <v>2025</v>
      </c>
      <c r="B71" s="51"/>
      <c r="C71" s="51"/>
      <c r="E71" s="7" t="s">
        <v>102</v>
      </c>
      <c r="F71" s="7" t="s">
        <v>132</v>
      </c>
      <c r="G71" s="7" t="s">
        <v>131</v>
      </c>
      <c r="I71" s="7" t="s">
        <v>160</v>
      </c>
    </row>
    <row r="72" spans="1:9" x14ac:dyDescent="0.3">
      <c r="A72" s="23" t="s">
        <v>33</v>
      </c>
      <c r="B72" s="51">
        <v>9885</v>
      </c>
      <c r="C72" s="51">
        <v>6660</v>
      </c>
      <c r="E72" s="23" t="s">
        <v>33</v>
      </c>
      <c r="F72">
        <f>IFERROR(GETPIVOTDATA("Amount",$A$69,"Year",2025,"Month",E72,"Data Type","Actual"),"")</f>
        <v>9885</v>
      </c>
      <c r="G72">
        <f>IFERROR(GETPIVOTDATA("Amount",$A$69,"Year",2025,"Month",E72,"Data Type","Budget"),"")</f>
        <v>6660</v>
      </c>
      <c r="I72" t="str">
        <f>IF(COUNTIF($F$72:$F$83,"&gt;0")+COUNTIF($G$72:$G$83,"&gt;0")=0,"No income data available for the selected filters.","")</f>
        <v/>
      </c>
    </row>
    <row r="73" spans="1:9" x14ac:dyDescent="0.3">
      <c r="A73" s="23" t="s">
        <v>34</v>
      </c>
      <c r="B73" s="51">
        <v>6545</v>
      </c>
      <c r="C73" s="51">
        <v>6540</v>
      </c>
      <c r="E73" s="23" t="s">
        <v>34</v>
      </c>
      <c r="F73">
        <f t="shared" ref="F73:F83" si="7">IFERROR(GETPIVOTDATA("Amount",$A$69,"Year",2025,"Month",E73,"Data Type","Actual"),"")</f>
        <v>6545</v>
      </c>
      <c r="G73">
        <f t="shared" ref="G73:G83" si="8">IFERROR(GETPIVOTDATA("Amount",$A$69,"Year",2025,"Month",E73,"Data Type","Budget"),"")</f>
        <v>6540</v>
      </c>
    </row>
    <row r="74" spans="1:9" x14ac:dyDescent="0.3">
      <c r="A74" s="23" t="s">
        <v>35</v>
      </c>
      <c r="B74" s="51">
        <v>6540</v>
      </c>
      <c r="C74" s="51">
        <v>9790</v>
      </c>
      <c r="E74" s="23" t="s">
        <v>35</v>
      </c>
      <c r="F74">
        <f t="shared" si="7"/>
        <v>6540</v>
      </c>
      <c r="G74">
        <f t="shared" si="8"/>
        <v>9790</v>
      </c>
    </row>
    <row r="75" spans="1:9" x14ac:dyDescent="0.3">
      <c r="A75" s="23" t="s">
        <v>36</v>
      </c>
      <c r="B75" s="51">
        <v>6840</v>
      </c>
      <c r="C75" s="51">
        <v>6790</v>
      </c>
      <c r="E75" s="23" t="s">
        <v>36</v>
      </c>
      <c r="F75">
        <f t="shared" si="7"/>
        <v>6840</v>
      </c>
      <c r="G75">
        <f t="shared" si="8"/>
        <v>6790</v>
      </c>
    </row>
    <row r="76" spans="1:9" x14ac:dyDescent="0.3">
      <c r="A76" s="23" t="s">
        <v>30</v>
      </c>
      <c r="B76" s="51">
        <v>6535</v>
      </c>
      <c r="C76" s="51">
        <v>6540</v>
      </c>
      <c r="E76" s="23" t="s">
        <v>30</v>
      </c>
      <c r="F76">
        <f t="shared" si="7"/>
        <v>6535</v>
      </c>
      <c r="G76">
        <f t="shared" si="8"/>
        <v>6540</v>
      </c>
    </row>
    <row r="77" spans="1:9" x14ac:dyDescent="0.3">
      <c r="A77" s="23" t="s">
        <v>37</v>
      </c>
      <c r="B77" s="51">
        <v>6540</v>
      </c>
      <c r="C77" s="51">
        <v>6540</v>
      </c>
      <c r="E77" s="23" t="s">
        <v>37</v>
      </c>
      <c r="F77">
        <f t="shared" si="7"/>
        <v>6540</v>
      </c>
      <c r="G77">
        <f t="shared" si="8"/>
        <v>6540</v>
      </c>
    </row>
    <row r="78" spans="1:9" x14ac:dyDescent="0.3">
      <c r="A78" s="23" t="s">
        <v>114</v>
      </c>
      <c r="B78" s="51">
        <v>6610</v>
      </c>
      <c r="C78" s="51">
        <v>6660</v>
      </c>
      <c r="E78" s="23" t="s">
        <v>114</v>
      </c>
      <c r="F78">
        <f t="shared" si="7"/>
        <v>6610</v>
      </c>
      <c r="G78">
        <f t="shared" si="8"/>
        <v>6660</v>
      </c>
    </row>
    <row r="79" spans="1:9" x14ac:dyDescent="0.3">
      <c r="A79" s="23" t="s">
        <v>115</v>
      </c>
      <c r="B79" s="51">
        <v>9790</v>
      </c>
      <c r="C79" s="51">
        <v>6540</v>
      </c>
      <c r="E79" s="23" t="s">
        <v>115</v>
      </c>
      <c r="F79">
        <f t="shared" si="7"/>
        <v>9790</v>
      </c>
      <c r="G79">
        <f t="shared" si="8"/>
        <v>6540</v>
      </c>
    </row>
    <row r="80" spans="1:9" x14ac:dyDescent="0.3">
      <c r="A80" s="23" t="s">
        <v>116</v>
      </c>
      <c r="B80" s="51">
        <v>6540</v>
      </c>
      <c r="C80" s="51">
        <v>9790</v>
      </c>
      <c r="E80" s="23" t="s">
        <v>116</v>
      </c>
      <c r="F80">
        <f t="shared" si="7"/>
        <v>6540</v>
      </c>
      <c r="G80">
        <f t="shared" si="8"/>
        <v>9790</v>
      </c>
    </row>
    <row r="81" spans="1:15" x14ac:dyDescent="0.3">
      <c r="A81" s="23" t="s">
        <v>117</v>
      </c>
      <c r="B81" s="51">
        <v>6540</v>
      </c>
      <c r="C81" s="51">
        <v>6540</v>
      </c>
      <c r="E81" s="23" t="s">
        <v>117</v>
      </c>
      <c r="F81">
        <f t="shared" si="7"/>
        <v>6540</v>
      </c>
      <c r="G81">
        <f t="shared" si="8"/>
        <v>6540</v>
      </c>
    </row>
    <row r="82" spans="1:15" x14ac:dyDescent="0.3">
      <c r="A82" s="23" t="s">
        <v>118</v>
      </c>
      <c r="B82" s="51">
        <v>6540</v>
      </c>
      <c r="C82" s="51">
        <v>6540</v>
      </c>
      <c r="E82" s="23" t="s">
        <v>118</v>
      </c>
      <c r="F82">
        <f t="shared" si="7"/>
        <v>6540</v>
      </c>
      <c r="G82">
        <f t="shared" si="8"/>
        <v>6540</v>
      </c>
    </row>
    <row r="83" spans="1:15" x14ac:dyDescent="0.3">
      <c r="A83" s="23" t="s">
        <v>119</v>
      </c>
      <c r="B83" s="51">
        <v>6530</v>
      </c>
      <c r="C83" s="51">
        <v>6540</v>
      </c>
      <c r="E83" s="23" t="s">
        <v>119</v>
      </c>
      <c r="F83">
        <f t="shared" si="7"/>
        <v>6530</v>
      </c>
      <c r="G83">
        <f t="shared" si="8"/>
        <v>6540</v>
      </c>
    </row>
    <row r="84" spans="1:15" x14ac:dyDescent="0.3">
      <c r="A84" s="3" t="s">
        <v>29</v>
      </c>
      <c r="B84" s="51">
        <v>85435</v>
      </c>
      <c r="C84" s="51">
        <v>85470</v>
      </c>
    </row>
    <row r="87" spans="1:15" x14ac:dyDescent="0.3">
      <c r="A87" s="31" t="s">
        <v>144</v>
      </c>
      <c r="B87" s="31"/>
      <c r="C87" s="31"/>
      <c r="D87" s="31"/>
      <c r="E87" s="31"/>
      <c r="F87" s="31"/>
      <c r="G87" s="31"/>
      <c r="H87" s="31"/>
      <c r="I87" s="31"/>
      <c r="J87" s="31"/>
      <c r="K87" s="31"/>
      <c r="L87" s="31"/>
      <c r="M87" s="31"/>
      <c r="N87" s="31"/>
      <c r="O87" s="31"/>
    </row>
    <row r="89" spans="1:15" x14ac:dyDescent="0.3">
      <c r="A89" s="2" t="s">
        <v>72</v>
      </c>
      <c r="B89" t="s">
        <v>45</v>
      </c>
    </row>
    <row r="90" spans="1:15" x14ac:dyDescent="0.3">
      <c r="A90" s="2" t="s">
        <v>102</v>
      </c>
      <c r="B90" t="s">
        <v>166</v>
      </c>
    </row>
    <row r="92" spans="1:15" s="44" customFormat="1" x14ac:dyDescent="0.3">
      <c r="A92" s="2" t="s">
        <v>163</v>
      </c>
      <c r="B92" t="s">
        <v>125</v>
      </c>
      <c r="C92"/>
      <c r="G92"/>
    </row>
    <row r="93" spans="1:15" x14ac:dyDescent="0.3">
      <c r="A93" s="3" t="s">
        <v>70</v>
      </c>
      <c r="B93" s="51">
        <v>1270</v>
      </c>
    </row>
    <row r="94" spans="1:15" x14ac:dyDescent="0.3">
      <c r="A94" s="3" t="s">
        <v>43</v>
      </c>
      <c r="B94" s="51">
        <v>175</v>
      </c>
    </row>
    <row r="95" spans="1:15" x14ac:dyDescent="0.3">
      <c r="A95" s="3" t="s">
        <v>46</v>
      </c>
      <c r="B95" s="51">
        <v>460</v>
      </c>
    </row>
    <row r="96" spans="1:15" x14ac:dyDescent="0.3">
      <c r="A96" s="3" t="s">
        <v>41</v>
      </c>
      <c r="B96" s="51">
        <v>169000</v>
      </c>
    </row>
    <row r="100" spans="1:24" x14ac:dyDescent="0.3">
      <c r="A100" s="31" t="s">
        <v>133</v>
      </c>
      <c r="B100" s="31"/>
      <c r="C100" s="31"/>
      <c r="D100" s="31"/>
      <c r="E100" s="31"/>
      <c r="F100" s="31"/>
      <c r="G100" s="31"/>
      <c r="H100" s="31"/>
      <c r="I100" s="31"/>
      <c r="J100" s="31"/>
      <c r="K100" s="31"/>
      <c r="L100" s="31"/>
      <c r="M100" s="31"/>
      <c r="N100" s="31"/>
      <c r="O100" s="31"/>
    </row>
    <row r="104" spans="1:24" x14ac:dyDescent="0.3">
      <c r="A104" s="2" t="s">
        <v>125</v>
      </c>
      <c r="B104" s="2" t="s">
        <v>137</v>
      </c>
    </row>
    <row r="105" spans="1:24" x14ac:dyDescent="0.3">
      <c r="A105" s="2" t="s">
        <v>1</v>
      </c>
      <c r="B105" t="s">
        <v>132</v>
      </c>
      <c r="C105" t="s">
        <v>131</v>
      </c>
      <c r="E105" s="7" t="s">
        <v>1</v>
      </c>
      <c r="F105" s="7" t="s">
        <v>132</v>
      </c>
      <c r="G105" s="7" t="s">
        <v>131</v>
      </c>
      <c r="H105" s="7" t="s">
        <v>133</v>
      </c>
      <c r="I105" s="7" t="s">
        <v>165</v>
      </c>
      <c r="K105" s="7" t="s">
        <v>160</v>
      </c>
      <c r="V105" s="22"/>
      <c r="W105" s="24"/>
      <c r="X105" s="25"/>
    </row>
    <row r="106" spans="1:24" x14ac:dyDescent="0.3">
      <c r="A106" s="3" t="s">
        <v>100</v>
      </c>
      <c r="B106" s="51">
        <v>968</v>
      </c>
      <c r="C106" s="51">
        <v>1250</v>
      </c>
      <c r="E106" s="3" t="s">
        <v>100</v>
      </c>
      <c r="F106">
        <f>IFERROR(GETPIVOTDATA("Amount",$A$104,"Category","Clothing","Data Type","Actual"), "")</f>
        <v>968</v>
      </c>
      <c r="G106">
        <f>IFERROR(GETPIVOTDATA("Amount",$A$104,"Category","Clothing","Data Type","Budget"),"")</f>
        <v>1250</v>
      </c>
      <c r="H106" s="46">
        <f>IF(OR(F106="", G106=""), NA(), F106-G106)</f>
        <v>-282</v>
      </c>
      <c r="I106" s="45">
        <f>IF(OR(F106="", G106=""), NA(), (F106-G106) / G106)</f>
        <v>-0.22559999999999999</v>
      </c>
      <c r="K106" t="str">
        <f>IF(SUMIF(H106:H120, "&lt;&gt;#N/A")=0,"No budget variance data available for the selected filters.", "")</f>
        <v/>
      </c>
      <c r="V106" s="22"/>
      <c r="W106" s="24"/>
      <c r="X106" s="25"/>
    </row>
    <row r="107" spans="1:24" x14ac:dyDescent="0.3">
      <c r="A107" s="3" t="s">
        <v>12</v>
      </c>
      <c r="B107" s="51">
        <v>1765</v>
      </c>
      <c r="C107" s="51">
        <v>1800</v>
      </c>
      <c r="E107" s="3" t="s">
        <v>12</v>
      </c>
      <c r="F107">
        <f>IFERROR(GETPIVOTDATA("Amount",$A$104,"Category","Dining","Data Type","Actual"), "")</f>
        <v>1765</v>
      </c>
      <c r="G107">
        <f>IFERROR(GETPIVOTDATA("Amount",$A$104,"Category","Dining","Data Type","Budget"),"")</f>
        <v>1800</v>
      </c>
      <c r="H107" s="46">
        <f t="shared" ref="H107:H120" si="9">IF(OR(F107="", G107=""), NA(), F107-G107)</f>
        <v>-35</v>
      </c>
      <c r="I107" s="45">
        <f t="shared" ref="I107:I120" si="10">IF(OR(F107="", G107=""), NA(), (F107-G107) / G107)</f>
        <v>-1.9444444444444445E-2</v>
      </c>
      <c r="V107" s="22"/>
      <c r="W107" s="24"/>
      <c r="X107" s="25"/>
    </row>
    <row r="108" spans="1:24" x14ac:dyDescent="0.3">
      <c r="A108" s="3" t="s">
        <v>96</v>
      </c>
      <c r="B108" s="51">
        <v>1220</v>
      </c>
      <c r="C108" s="51">
        <v>3600</v>
      </c>
      <c r="E108" s="3" t="s">
        <v>96</v>
      </c>
      <c r="F108">
        <f>IFERROR(GETPIVOTDATA("Amount",$A$104,"Category","Emergency Fund","Data Type","Actual"), "")</f>
        <v>1220</v>
      </c>
      <c r="G108">
        <f>IFERROR(GETPIVOTDATA("Amount",$A$104,"Category","Emergency Fund","Data Type","Budget"),"")</f>
        <v>3600</v>
      </c>
      <c r="H108" s="46">
        <f t="shared" si="9"/>
        <v>-2380</v>
      </c>
      <c r="I108" s="45">
        <f t="shared" si="10"/>
        <v>-0.66111111111111109</v>
      </c>
      <c r="V108" s="22"/>
      <c r="W108" s="24"/>
      <c r="X108" s="25"/>
    </row>
    <row r="109" spans="1:24" x14ac:dyDescent="0.3">
      <c r="A109" s="3" t="s">
        <v>10</v>
      </c>
      <c r="B109" s="51">
        <v>456</v>
      </c>
      <c r="C109" s="51">
        <v>480</v>
      </c>
      <c r="E109" s="3" t="s">
        <v>10</v>
      </c>
      <c r="F109">
        <f>IFERROR(GETPIVOTDATA("Amount",$A$104,"Category","Entertainment","Data Type","Actual"), "")</f>
        <v>456</v>
      </c>
      <c r="G109">
        <f>IFERROR(GETPIVOTDATA("Amount",$A$104,"Category","Entertainment","Data Type","Budget"),"")</f>
        <v>480</v>
      </c>
      <c r="H109" s="46">
        <f t="shared" si="9"/>
        <v>-24</v>
      </c>
      <c r="I109" s="45">
        <f t="shared" si="10"/>
        <v>-0.05</v>
      </c>
      <c r="V109" s="22"/>
      <c r="W109" s="24"/>
      <c r="X109" s="25"/>
    </row>
    <row r="110" spans="1:24" x14ac:dyDescent="0.3">
      <c r="A110" s="3" t="s">
        <v>55</v>
      </c>
      <c r="B110" s="51">
        <v>84500</v>
      </c>
      <c r="C110" s="51">
        <v>84500</v>
      </c>
      <c r="E110" s="3" t="s">
        <v>55</v>
      </c>
      <c r="F110">
        <f>IFERROR(GETPIVOTDATA("Amount",$A$104,"Category","Fixed","Data Type","Actual"), "")</f>
        <v>84500</v>
      </c>
      <c r="G110">
        <f>IFERROR(GETPIVOTDATA("Amount",$A$104,"Category","Fixed","Data Type","Budget"),"")</f>
        <v>84500</v>
      </c>
      <c r="H110" s="46">
        <f t="shared" si="9"/>
        <v>0</v>
      </c>
      <c r="I110" s="45">
        <f t="shared" si="10"/>
        <v>0</v>
      </c>
      <c r="V110" s="22"/>
      <c r="W110" s="24"/>
      <c r="X110" s="25"/>
    </row>
    <row r="111" spans="1:24" x14ac:dyDescent="0.3">
      <c r="A111" s="3" t="s">
        <v>4</v>
      </c>
      <c r="B111" s="51">
        <v>7980</v>
      </c>
      <c r="C111" s="51">
        <v>7980</v>
      </c>
      <c r="E111" s="3" t="s">
        <v>4</v>
      </c>
      <c r="F111">
        <f>IFERROR(GETPIVOTDATA("Amount",$A$104,"Category","Groceries","Data Type","Actual"), "")</f>
        <v>7980</v>
      </c>
      <c r="G111">
        <f>IFERROR(GETPIVOTDATA("Amount",$A$104,"Category","Groceries","Data Type","Budget"),"")</f>
        <v>7980</v>
      </c>
      <c r="H111" s="46">
        <f t="shared" si="9"/>
        <v>0</v>
      </c>
      <c r="I111" s="45">
        <f t="shared" si="10"/>
        <v>0</v>
      </c>
      <c r="V111" s="22"/>
      <c r="W111" s="24"/>
      <c r="X111" s="25"/>
    </row>
    <row r="112" spans="1:24" x14ac:dyDescent="0.3">
      <c r="A112" s="3" t="s">
        <v>67</v>
      </c>
      <c r="B112" s="51">
        <v>3822</v>
      </c>
      <c r="C112" s="51">
        <v>3480</v>
      </c>
      <c r="E112" s="3" t="s">
        <v>67</v>
      </c>
      <c r="F112">
        <f>IFERROR(GETPIVOTDATA("Amount",$A$104,"Category","Healthcare","Data Type","Actual"), "")</f>
        <v>3822</v>
      </c>
      <c r="G112">
        <f>IFERROR(GETPIVOTDATA("Amount",$A$104,"Category","Healthcare","Data Type","Budget"),"")</f>
        <v>3480</v>
      </c>
      <c r="H112" s="46">
        <f t="shared" si="9"/>
        <v>342</v>
      </c>
      <c r="I112" s="45">
        <f t="shared" si="10"/>
        <v>9.8275862068965519E-2</v>
      </c>
      <c r="V112" s="22"/>
      <c r="W112" s="24"/>
      <c r="X112" s="25"/>
    </row>
    <row r="113" spans="1:24" x14ac:dyDescent="0.3">
      <c r="A113" s="3" t="s">
        <v>74</v>
      </c>
      <c r="B113" s="51">
        <v>34544</v>
      </c>
      <c r="C113" s="51">
        <v>34544</v>
      </c>
      <c r="E113" s="3" t="s">
        <v>74</v>
      </c>
      <c r="F113">
        <f>IFERROR(GETPIVOTDATA("Amount",$A$104,"Category","Housing","Data Type","Actual"), "")</f>
        <v>34544</v>
      </c>
      <c r="G113">
        <f>IFERROR(GETPIVOTDATA("Amount",$A$104,"Category","Housing","Data Type","Budget"),"")</f>
        <v>34544</v>
      </c>
      <c r="H113" s="46">
        <f t="shared" si="9"/>
        <v>0</v>
      </c>
      <c r="I113" s="45">
        <f t="shared" si="10"/>
        <v>0</v>
      </c>
      <c r="V113" s="22"/>
      <c r="W113" s="24"/>
      <c r="X113" s="25"/>
    </row>
    <row r="114" spans="1:24" s="44" customFormat="1" x14ac:dyDescent="0.3">
      <c r="A114" s="3" t="s">
        <v>59</v>
      </c>
      <c r="B114" s="51">
        <v>1830</v>
      </c>
      <c r="C114" s="51">
        <v>1800</v>
      </c>
      <c r="E114" s="3" t="s">
        <v>59</v>
      </c>
      <c r="F114" s="47">
        <f>IFERROR(GETPIVOTDATA("Amount",$A$104,"Category","Miscellaneous","Data Type","Actual"), "")</f>
        <v>1830</v>
      </c>
      <c r="G114" s="47">
        <f>IFERROR(GETPIVOTDATA("Amount",$A$104,"Category","Miscellaneous","Data Type","Budget"),"")</f>
        <v>1800</v>
      </c>
      <c r="H114" s="46">
        <f t="shared" si="9"/>
        <v>30</v>
      </c>
      <c r="I114" s="45">
        <f t="shared" si="10"/>
        <v>1.6666666666666666E-2</v>
      </c>
      <c r="N114" s="47"/>
      <c r="O114" s="47"/>
      <c r="R114"/>
      <c r="S114"/>
      <c r="T114"/>
      <c r="U114"/>
      <c r="V114" s="22"/>
      <c r="W114" s="24"/>
      <c r="X114" s="25"/>
    </row>
    <row r="115" spans="1:24" x14ac:dyDescent="0.3">
      <c r="A115" s="3" t="s">
        <v>86</v>
      </c>
      <c r="B115" s="51">
        <v>836</v>
      </c>
      <c r="C115" s="51">
        <v>1000</v>
      </c>
      <c r="E115" s="3" t="s">
        <v>86</v>
      </c>
      <c r="F115">
        <f>IFERROR(GETPIVOTDATA("Amount",$A$104,"Category","Personal Care","Data Type","Actual"), "")</f>
        <v>836</v>
      </c>
      <c r="G115">
        <f>IFERROR(GETPIVOTDATA("Amount",$A$104,"Category","Personal Care","Data Type","Budget"),"")</f>
        <v>1000</v>
      </c>
      <c r="H115" s="46">
        <f t="shared" si="9"/>
        <v>-164</v>
      </c>
      <c r="I115" s="45">
        <f t="shared" si="10"/>
        <v>-0.16400000000000001</v>
      </c>
      <c r="V115" s="22"/>
      <c r="W115" s="24"/>
      <c r="X115" s="25"/>
    </row>
    <row r="116" spans="1:24" x14ac:dyDescent="0.3">
      <c r="A116" s="3" t="s">
        <v>79</v>
      </c>
      <c r="B116" s="51">
        <v>3279</v>
      </c>
      <c r="C116" s="51">
        <v>3340</v>
      </c>
      <c r="E116" s="3" t="s">
        <v>79</v>
      </c>
      <c r="F116">
        <f>IFERROR(GETPIVOTDATA("Amount",$A$104,"Category","Transportation","Data Type","Actual"), "")</f>
        <v>3279</v>
      </c>
      <c r="G116">
        <f>IFERROR(GETPIVOTDATA("Amount",$A$104,"Category","Transportation","Data Type","Budget"),"")</f>
        <v>3340</v>
      </c>
      <c r="H116" s="46">
        <f t="shared" si="9"/>
        <v>-61</v>
      </c>
      <c r="I116" s="45">
        <f t="shared" si="10"/>
        <v>-1.8263473053892216E-2</v>
      </c>
      <c r="V116" s="22"/>
      <c r="W116" s="24"/>
      <c r="X116" s="25"/>
    </row>
    <row r="117" spans="1:24" x14ac:dyDescent="0.3">
      <c r="A117" s="3" t="s">
        <v>31</v>
      </c>
      <c r="B117" s="51">
        <v>3410</v>
      </c>
      <c r="C117" s="51">
        <v>3600</v>
      </c>
      <c r="E117" s="3" t="s">
        <v>31</v>
      </c>
      <c r="F117">
        <f>IFERROR(GETPIVOTDATA("Amount",$A$104,"Category","Travel","Data Type","Actual"), "")</f>
        <v>3410</v>
      </c>
      <c r="G117">
        <f>IFERROR(GETPIVOTDATA("Amount",$A$104,"Category","Travel","Data Type","Budget"),"")</f>
        <v>3600</v>
      </c>
      <c r="H117" s="46">
        <f t="shared" si="9"/>
        <v>-190</v>
      </c>
      <c r="I117" s="45">
        <f t="shared" si="10"/>
        <v>-5.2777777777777778E-2</v>
      </c>
      <c r="V117" s="22"/>
      <c r="W117" s="24"/>
      <c r="X117" s="25"/>
    </row>
    <row r="118" spans="1:24" x14ac:dyDescent="0.3">
      <c r="A118" s="3" t="s">
        <v>7</v>
      </c>
      <c r="B118" s="51">
        <v>3796</v>
      </c>
      <c r="C118" s="51">
        <v>3795</v>
      </c>
      <c r="E118" s="3" t="s">
        <v>7</v>
      </c>
      <c r="F118">
        <f>IFERROR(GETPIVOTDATA("Amount",$A$104,"Category","Utilities","Data Type","Actual"), "")</f>
        <v>3796</v>
      </c>
      <c r="G118">
        <f>IFERROR(GETPIVOTDATA("Amount",$A$104,"Category","Utilities","Data Type","Budget"),"")</f>
        <v>3795</v>
      </c>
      <c r="H118" s="46">
        <f t="shared" si="9"/>
        <v>1</v>
      </c>
      <c r="I118" s="45">
        <f t="shared" si="10"/>
        <v>2.6350461133069827E-4</v>
      </c>
      <c r="V118" s="22"/>
      <c r="W118" s="24"/>
      <c r="X118" s="25"/>
    </row>
    <row r="119" spans="1:24" x14ac:dyDescent="0.3">
      <c r="A119" s="3" t="s">
        <v>42</v>
      </c>
      <c r="B119" s="51">
        <v>935</v>
      </c>
      <c r="C119" s="51">
        <v>970</v>
      </c>
      <c r="E119" s="3" t="s">
        <v>42</v>
      </c>
      <c r="F119">
        <f>IFERROR(GETPIVOTDATA("Amount",$A$104,"Category","Variable","Data Type","Actual"), "")</f>
        <v>935</v>
      </c>
      <c r="G119">
        <f>IFERROR(GETPIVOTDATA("Amount",$A$104,"Category","Variable","Data Type","Budget"),"")</f>
        <v>970</v>
      </c>
      <c r="H119" s="46">
        <f t="shared" si="9"/>
        <v>-35</v>
      </c>
      <c r="I119" s="45">
        <f t="shared" si="10"/>
        <v>-3.608247422680412E-2</v>
      </c>
      <c r="V119" s="22"/>
      <c r="W119" s="24"/>
      <c r="X119" s="25"/>
    </row>
    <row r="120" spans="1:24" x14ac:dyDescent="0.3">
      <c r="A120" s="3" t="s">
        <v>113</v>
      </c>
      <c r="B120" s="51">
        <v>1374</v>
      </c>
      <c r="C120" s="51">
        <v>1600</v>
      </c>
      <c r="E120" s="3" t="s">
        <v>113</v>
      </c>
      <c r="F120">
        <f>IFERROR(GETPIVOTDATA("Amount",$A$104,"Category","Home Goods","Data Type","Actual"), "")</f>
        <v>1374</v>
      </c>
      <c r="G120">
        <f>IFERROR(GETPIVOTDATA("Amount",$A$104,"Category","Home Goods","Data Type","Budget"),"")</f>
        <v>1600</v>
      </c>
      <c r="H120" s="46">
        <f t="shared" si="9"/>
        <v>-226</v>
      </c>
      <c r="I120" s="45">
        <f t="shared" si="10"/>
        <v>-0.14124999999999999</v>
      </c>
      <c r="V120" s="28"/>
      <c r="W120" s="29"/>
      <c r="X120" s="30"/>
    </row>
    <row r="124" spans="1:24" x14ac:dyDescent="0.3">
      <c r="A124" s="31" t="s">
        <v>164</v>
      </c>
      <c r="B124" s="31"/>
      <c r="C124" s="31"/>
      <c r="D124" s="31"/>
      <c r="E124" s="31"/>
      <c r="F124" s="31"/>
      <c r="G124" s="31"/>
      <c r="H124" s="31"/>
      <c r="I124" s="31"/>
      <c r="J124" s="31"/>
      <c r="K124" s="31"/>
      <c r="L124" s="31"/>
      <c r="M124" s="31"/>
      <c r="N124" s="31"/>
      <c r="O124" s="31"/>
    </row>
    <row r="126" spans="1:24" x14ac:dyDescent="0.3">
      <c r="A126" s="2" t="s">
        <v>125</v>
      </c>
      <c r="B126" s="2" t="s">
        <v>137</v>
      </c>
    </row>
    <row r="127" spans="1:24" x14ac:dyDescent="0.3">
      <c r="B127" t="s">
        <v>132</v>
      </c>
      <c r="D127" t="s">
        <v>131</v>
      </c>
    </row>
    <row r="128" spans="1:24" x14ac:dyDescent="0.3">
      <c r="A128" s="2" t="s">
        <v>102</v>
      </c>
      <c r="B128" t="s">
        <v>49</v>
      </c>
      <c r="C128" t="s">
        <v>45</v>
      </c>
      <c r="D128" t="s">
        <v>49</v>
      </c>
      <c r="E128" t="s">
        <v>45</v>
      </c>
    </row>
    <row r="129" spans="1:18" x14ac:dyDescent="0.3">
      <c r="A129" s="3">
        <v>2025</v>
      </c>
      <c r="B129" s="51"/>
      <c r="C129" s="51"/>
      <c r="D129" s="51"/>
      <c r="E129" s="51"/>
      <c r="G129" s="7" t="s">
        <v>102</v>
      </c>
      <c r="H129" s="7" t="s">
        <v>141</v>
      </c>
      <c r="I129" s="7" t="s">
        <v>142</v>
      </c>
      <c r="L129" s="53"/>
      <c r="M129" s="53"/>
      <c r="N129" s="53"/>
      <c r="O129" s="53"/>
      <c r="P129" s="53"/>
      <c r="Q129" s="53"/>
      <c r="R129" s="54"/>
    </row>
    <row r="130" spans="1:18" x14ac:dyDescent="0.3">
      <c r="A130" s="23" t="s">
        <v>33</v>
      </c>
      <c r="B130" s="51">
        <v>7483</v>
      </c>
      <c r="C130" s="51">
        <v>9885</v>
      </c>
      <c r="D130" s="51">
        <v>7727</v>
      </c>
      <c r="E130" s="51">
        <v>6660</v>
      </c>
      <c r="G130" s="23" t="s">
        <v>33</v>
      </c>
      <c r="H130">
        <f>IF(OR(B130="", C130=""), NA(), C130-B130)</f>
        <v>2402</v>
      </c>
      <c r="I130">
        <f>IF(OR(D130="", E130=""), NA(), E130-D130)</f>
        <v>-1067</v>
      </c>
      <c r="O130" s="27"/>
      <c r="P130" s="26"/>
      <c r="Q130" s="26"/>
      <c r="R130" s="27"/>
    </row>
    <row r="131" spans="1:18" x14ac:dyDescent="0.3">
      <c r="A131" s="23" t="s">
        <v>34</v>
      </c>
      <c r="B131" s="51">
        <v>4607</v>
      </c>
      <c r="C131" s="51">
        <v>6545</v>
      </c>
      <c r="D131" s="51">
        <v>4852</v>
      </c>
      <c r="E131" s="51">
        <v>6540</v>
      </c>
      <c r="G131" s="23" t="s">
        <v>34</v>
      </c>
      <c r="H131">
        <f t="shared" ref="H131:H141" si="11">IF(OR(B131="", C131=""), NA(), C131-B131)</f>
        <v>1938</v>
      </c>
      <c r="I131">
        <f t="shared" ref="I131:I141" si="12">IF(OR(D131="", E131=""), NA(), E131-D131)</f>
        <v>1688</v>
      </c>
      <c r="O131" s="27"/>
      <c r="P131" s="26"/>
      <c r="Q131" s="26"/>
      <c r="R131" s="27"/>
    </row>
    <row r="132" spans="1:18" x14ac:dyDescent="0.3">
      <c r="A132" s="23" t="s">
        <v>35</v>
      </c>
      <c r="B132" s="51">
        <v>5747</v>
      </c>
      <c r="C132" s="51">
        <v>6540</v>
      </c>
      <c r="D132" s="51">
        <v>6102</v>
      </c>
      <c r="E132" s="51">
        <v>9790</v>
      </c>
      <c r="G132" s="23" t="s">
        <v>35</v>
      </c>
      <c r="H132">
        <f t="shared" si="11"/>
        <v>793</v>
      </c>
      <c r="I132">
        <f t="shared" si="12"/>
        <v>3688</v>
      </c>
      <c r="O132" s="27"/>
      <c r="P132" s="26"/>
      <c r="Q132" s="26"/>
      <c r="R132" s="27"/>
    </row>
    <row r="133" spans="1:18" x14ac:dyDescent="0.3">
      <c r="A133" s="23" t="s">
        <v>36</v>
      </c>
      <c r="B133" s="51">
        <v>4627</v>
      </c>
      <c r="C133" s="51">
        <v>6840</v>
      </c>
      <c r="D133" s="51">
        <v>4797</v>
      </c>
      <c r="E133" s="51">
        <v>6790</v>
      </c>
      <c r="G133" s="23" t="s">
        <v>36</v>
      </c>
      <c r="H133">
        <f t="shared" si="11"/>
        <v>2213</v>
      </c>
      <c r="I133">
        <f t="shared" si="12"/>
        <v>1993</v>
      </c>
      <c r="O133" s="27"/>
      <c r="P133" s="26"/>
      <c r="Q133" s="26"/>
      <c r="R133" s="27"/>
    </row>
    <row r="134" spans="1:18" s="44" customFormat="1" x14ac:dyDescent="0.3">
      <c r="A134" s="23" t="s">
        <v>30</v>
      </c>
      <c r="B134" s="51">
        <v>4528</v>
      </c>
      <c r="C134" s="51">
        <v>6535</v>
      </c>
      <c r="D134" s="51">
        <v>4887</v>
      </c>
      <c r="E134" s="51">
        <v>6540</v>
      </c>
      <c r="G134" s="23" t="s">
        <v>30</v>
      </c>
      <c r="H134">
        <f t="shared" si="11"/>
        <v>2007</v>
      </c>
      <c r="I134">
        <f t="shared" si="12"/>
        <v>1653</v>
      </c>
      <c r="L134"/>
      <c r="M134"/>
      <c r="N134"/>
      <c r="O134" s="27"/>
      <c r="P134" s="26"/>
      <c r="Q134" s="26"/>
      <c r="R134" s="27"/>
    </row>
    <row r="135" spans="1:18" x14ac:dyDescent="0.3">
      <c r="A135" s="23" t="s">
        <v>37</v>
      </c>
      <c r="B135" s="51">
        <v>5744</v>
      </c>
      <c r="C135" s="51">
        <v>6540</v>
      </c>
      <c r="D135" s="51">
        <v>5862</v>
      </c>
      <c r="E135" s="51">
        <v>6540</v>
      </c>
      <c r="G135" s="23" t="s">
        <v>37</v>
      </c>
      <c r="H135">
        <f t="shared" si="11"/>
        <v>796</v>
      </c>
      <c r="I135">
        <f t="shared" si="12"/>
        <v>678</v>
      </c>
      <c r="O135" s="27"/>
      <c r="P135" s="26"/>
      <c r="Q135" s="26"/>
      <c r="R135" s="27"/>
    </row>
    <row r="136" spans="1:18" x14ac:dyDescent="0.3">
      <c r="A136" s="23" t="s">
        <v>114</v>
      </c>
      <c r="B136" s="51">
        <v>6707</v>
      </c>
      <c r="C136" s="51">
        <v>6610</v>
      </c>
      <c r="D136" s="51">
        <v>6697</v>
      </c>
      <c r="E136" s="51">
        <v>6660</v>
      </c>
      <c r="G136" s="23" t="s">
        <v>114</v>
      </c>
      <c r="H136">
        <f t="shared" si="11"/>
        <v>-97</v>
      </c>
      <c r="I136">
        <f t="shared" si="12"/>
        <v>-37</v>
      </c>
      <c r="O136" s="27"/>
      <c r="P136" s="26"/>
      <c r="Q136" s="26"/>
      <c r="R136" s="27"/>
    </row>
    <row r="137" spans="1:18" x14ac:dyDescent="0.3">
      <c r="A137" s="23" t="s">
        <v>115</v>
      </c>
      <c r="B137" s="51">
        <v>4591</v>
      </c>
      <c r="C137" s="51">
        <v>9790</v>
      </c>
      <c r="D137" s="51">
        <v>4967</v>
      </c>
      <c r="E137" s="51">
        <v>6540</v>
      </c>
      <c r="G137" s="23" t="s">
        <v>115</v>
      </c>
      <c r="H137">
        <f t="shared" si="11"/>
        <v>5199</v>
      </c>
      <c r="I137">
        <f t="shared" si="12"/>
        <v>1573</v>
      </c>
      <c r="O137" s="27"/>
      <c r="P137" s="26"/>
      <c r="Q137" s="26"/>
      <c r="R137" s="27"/>
    </row>
    <row r="138" spans="1:18" x14ac:dyDescent="0.3">
      <c r="A138" s="23" t="s">
        <v>116</v>
      </c>
      <c r="B138" s="51">
        <v>5003</v>
      </c>
      <c r="C138" s="51">
        <v>6540</v>
      </c>
      <c r="D138" s="51">
        <v>4852</v>
      </c>
      <c r="E138" s="51">
        <v>9790</v>
      </c>
      <c r="G138" s="23" t="s">
        <v>116</v>
      </c>
      <c r="H138">
        <f t="shared" si="11"/>
        <v>1537</v>
      </c>
      <c r="I138">
        <f t="shared" si="12"/>
        <v>4938</v>
      </c>
      <c r="O138" s="27"/>
      <c r="P138" s="26"/>
      <c r="Q138" s="26"/>
      <c r="R138" s="27"/>
    </row>
    <row r="139" spans="1:18" s="44" customFormat="1" x14ac:dyDescent="0.3">
      <c r="A139" s="23" t="s">
        <v>117</v>
      </c>
      <c r="B139" s="51">
        <v>4794</v>
      </c>
      <c r="C139" s="51">
        <v>6540</v>
      </c>
      <c r="D139" s="51">
        <v>5182</v>
      </c>
      <c r="E139" s="51">
        <v>6540</v>
      </c>
      <c r="G139" s="23" t="s">
        <v>117</v>
      </c>
      <c r="H139">
        <f t="shared" si="11"/>
        <v>1746</v>
      </c>
      <c r="I139">
        <f t="shared" si="12"/>
        <v>1358</v>
      </c>
      <c r="L139"/>
      <c r="M139"/>
      <c r="N139"/>
      <c r="O139" s="27"/>
      <c r="P139" s="26"/>
      <c r="Q139" s="26"/>
      <c r="R139" s="27"/>
    </row>
    <row r="140" spans="1:18" x14ac:dyDescent="0.3">
      <c r="A140" s="23" t="s">
        <v>118</v>
      </c>
      <c r="B140" s="51">
        <v>5664</v>
      </c>
      <c r="C140" s="51">
        <v>6540</v>
      </c>
      <c r="D140" s="51">
        <v>5912</v>
      </c>
      <c r="E140" s="51">
        <v>6540</v>
      </c>
      <c r="G140" s="23" t="s">
        <v>118</v>
      </c>
      <c r="H140">
        <f t="shared" si="11"/>
        <v>876</v>
      </c>
      <c r="I140">
        <f t="shared" si="12"/>
        <v>628</v>
      </c>
      <c r="O140" s="27"/>
      <c r="P140" s="26"/>
      <c r="Q140" s="26"/>
      <c r="R140" s="27"/>
    </row>
    <row r="141" spans="1:18" x14ac:dyDescent="0.3">
      <c r="A141" s="23" t="s">
        <v>119</v>
      </c>
      <c r="B141" s="51">
        <v>5785</v>
      </c>
      <c r="C141" s="51">
        <v>6530</v>
      </c>
      <c r="D141" s="51">
        <v>6432</v>
      </c>
      <c r="E141" s="51">
        <v>6540</v>
      </c>
      <c r="G141" s="23" t="s">
        <v>119</v>
      </c>
      <c r="H141">
        <f t="shared" si="11"/>
        <v>745</v>
      </c>
      <c r="I141">
        <f t="shared" si="12"/>
        <v>108</v>
      </c>
      <c r="O141" s="27"/>
      <c r="P141" s="26"/>
      <c r="Q141" s="26"/>
      <c r="R141" s="27"/>
    </row>
    <row r="142" spans="1:18" x14ac:dyDescent="0.3">
      <c r="O142" s="30"/>
      <c r="R142" s="30"/>
    </row>
    <row r="149" spans="1:15" x14ac:dyDescent="0.3">
      <c r="A149" s="31" t="s">
        <v>145</v>
      </c>
      <c r="B149" s="31"/>
      <c r="C149" s="31"/>
      <c r="D149" s="31"/>
      <c r="E149" s="31"/>
      <c r="F149" s="31"/>
      <c r="G149" s="31"/>
      <c r="H149" s="31"/>
      <c r="I149" s="31"/>
      <c r="J149" s="31"/>
      <c r="K149" s="31"/>
      <c r="L149" s="31"/>
      <c r="M149" s="31"/>
      <c r="N149" s="31"/>
      <c r="O149" s="31"/>
    </row>
    <row r="151" spans="1:15" s="44" customFormat="1" x14ac:dyDescent="0.3">
      <c r="A151" t="s">
        <v>134</v>
      </c>
      <c r="B151" t="s">
        <v>38</v>
      </c>
      <c r="C151" t="s">
        <v>135</v>
      </c>
      <c r="D151" t="s">
        <v>136</v>
      </c>
      <c r="E151" t="s">
        <v>133</v>
      </c>
      <c r="F151" t="s">
        <v>146</v>
      </c>
      <c r="G151"/>
      <c r="H151"/>
      <c r="I151"/>
      <c r="J151"/>
      <c r="K151"/>
      <c r="L151"/>
      <c r="M151"/>
      <c r="N151"/>
      <c r="O151"/>
    </row>
    <row r="152" spans="1:15" x14ac:dyDescent="0.3">
      <c r="A152" s="52">
        <f>IFERROR(GETPIVOTDATA("Amount",$A$69,"Data Type","Actual"),0)</f>
        <v>85435</v>
      </c>
      <c r="B152" s="52">
        <f>IFERROR(GETPIVOTDATA("Amount",$A$26,"Data Type","Actual"),0)</f>
        <v>65280</v>
      </c>
      <c r="C152" s="52">
        <f>Table10[[#This Row],[Total Income]]-Table10[[#This Row],[Total Expense]]</f>
        <v>20155</v>
      </c>
      <c r="D152" s="52">
        <f>IFERROR(GETPIVOTDATA("Amount",$A$26,"Data Type","Budget"), 0)</f>
        <v>68269</v>
      </c>
      <c r="E152" s="48">
        <f>Table10[[#This Row],[Total Expense]]-Table10[[#This Row],[Total Budget]]</f>
        <v>-2989</v>
      </c>
      <c r="F152" s="45">
        <f>IFERROR(GETPIVOTDATA("Amount",$A$26,"Data Type","Actual")/GETPIVOTDATA("Amount",$A$26,"Data Type","Budget"), 0)</f>
        <v>0.95621731679093003</v>
      </c>
    </row>
    <row r="154" spans="1:15" x14ac:dyDescent="0.3">
      <c r="A154" s="31" t="s">
        <v>147</v>
      </c>
      <c r="B154" s="31"/>
      <c r="C154" s="31"/>
      <c r="D154" s="31"/>
      <c r="E154" s="31"/>
      <c r="F154" s="31"/>
      <c r="G154" s="31"/>
      <c r="H154" s="31"/>
      <c r="I154" s="31"/>
      <c r="J154" s="31"/>
      <c r="K154" s="31"/>
      <c r="L154" s="31"/>
      <c r="M154" s="31"/>
      <c r="N154" s="31"/>
      <c r="O154" s="31"/>
    </row>
    <row r="155" spans="1:15" x14ac:dyDescent="0.3">
      <c r="A155" t="s">
        <v>147</v>
      </c>
      <c r="B155" t="str">
        <f>A157 &amp;CHAR( 10)&amp; A158 &amp;CHAR(10)&amp; A159 &amp;CHAR(10)&amp; A160 &amp;CHAR(10)&amp; A161</f>
        <v>🏠 Housing accounted for 53% of total expenses.
🩺 Healthcare spending was 10% over budget.
📊 January had the highest monthly spending.
💰 Salary contributed 99% of total income.
💵 Net savings were highest in August.</v>
      </c>
    </row>
    <row r="157" spans="1:15" x14ac:dyDescent="0.3">
      <c r="A157" t="str" cm="1">
        <f t="array" ref="A157">IFERROR(_xlfn.LET(_xlpm.v,_xlfn._xlws.FILTER(B49:B62,ISNUMBER(B49:B62)),_xlpm.m,MAX(_xlpm.v),"🏠 "&amp;_xlfn.XLOOKUP(_xlpm.m,B49:B62,A49:A62)&amp;" accounted for "&amp;TEXT(_xlpm.m/SUM(_xlpm.v),"0%")&amp;" of total expenses."),"🏠 No expense data available for the selected filters.")</f>
        <v>🏠 Housing accounted for 53% of total expenses.</v>
      </c>
    </row>
    <row r="158" spans="1:15" x14ac:dyDescent="0.3">
      <c r="A158" t="str" cm="1">
        <f t="array" ref="A158">IFERROR(_xlfn.LET(_xlpm.v, _xlfn._xlws.FILTER(I106:I120, ISNUMBER(I106:I120)), _xlpm.m, MAX(_xlpm.v), IF(_xlpm.m&gt;0,"🩺 "&amp;_xlfn.XLOOKUP(_xlpm.m, I106:I120,E106:E120)&amp;" spending was "&amp;TEXT(_xlpm.m, "0%")&amp;" over budget.","🩺 All categories were at or under budget.")),"🩺 No budget variance data available.")</f>
        <v>🩺 Healthcare spending was 10% over budget.</v>
      </c>
    </row>
    <row r="159" spans="1:15" x14ac:dyDescent="0.3">
      <c r="A159" t="str" cm="1">
        <f t="array" ref="A159">IFERROR(_xlfn.LET(_xlpm.v, _xlfn._xlws.FILTER(B29:B40, ISNUMBER(B29:B40)), _xlpm.m, MAX(_xlpm.v), "📊 " &amp; TEXT(DATEVALUE(_xlfn.XLOOKUP(_xlpm.m, B29:B40, A29:A40)&amp;" 1"), "mmmm") &amp; " had the highest monthly spending."), "📊 No spending data available for the selected filters.")</f>
        <v>📊 January had the highest monthly spending.</v>
      </c>
    </row>
    <row r="160" spans="1:15" x14ac:dyDescent="0.3">
      <c r="A160" t="str" cm="1">
        <f t="array" ref="A160">IFERROR(_xlfn.LET(_xlpm.v, _xlfn._xlws.FILTER(B93:B96, ISNUMBER(B93:B96)), _xlpm.m, MAX(_xlpm.v), "💰 "&amp;_xlfn.XLOOKUP(_xlpm.m,B93:B96,A93:A96)&amp;" contributed "&amp;TEXT(_xlpm.m/SUM(_xlpm.v),"0%")&amp;" of total income."), "💰 No income data available for the selected filters.")</f>
        <v>💰 Salary contributed 99% of total income.</v>
      </c>
      <c r="E160" s="5"/>
    </row>
    <row r="161" spans="1:15" x14ac:dyDescent="0.3">
      <c r="A161" t="str" cm="1">
        <f t="array" ref="A161">IFERROR(_xlfn.LET(_xlpm.v,_xlfn._xlws.FILTER(H130:H141,ISNUMBER(H130:H141)),_xlpm.m,MAX(_xlpm.v),"💵 Net savings were highest in "&amp; TEXT(DATEVALUE(_xlfn.XLOOKUP(_xlpm.m,H130:H141,G130:G141) &amp; " 1"), "mmmm")) &amp; ".","💵 No savings data available for the selected filters.")</f>
        <v>💵 Net savings were highest in August.</v>
      </c>
      <c r="E161" s="5"/>
    </row>
    <row r="162" spans="1:15" x14ac:dyDescent="0.3">
      <c r="E162" s="5"/>
    </row>
    <row r="163" spans="1:15" x14ac:dyDescent="0.3">
      <c r="E163" s="5"/>
    </row>
    <row r="164" spans="1:15" x14ac:dyDescent="0.3">
      <c r="E164" s="5"/>
    </row>
    <row r="166" spans="1:15" x14ac:dyDescent="0.3">
      <c r="A166" s="31" t="s">
        <v>148</v>
      </c>
      <c r="B166" s="31"/>
      <c r="C166" s="31"/>
      <c r="D166" s="31"/>
      <c r="E166" s="31"/>
      <c r="F166" s="31"/>
      <c r="G166" s="31"/>
      <c r="H166" s="31"/>
      <c r="I166" s="31"/>
      <c r="J166" s="31"/>
      <c r="K166" s="31"/>
      <c r="L166" s="31"/>
      <c r="M166" s="31"/>
      <c r="N166" s="31"/>
      <c r="O166" s="31"/>
    </row>
    <row r="168" spans="1:15" x14ac:dyDescent="0.3">
      <c r="A168" t="str">
        <f ca="1">" Last Updated: " &amp; CHAR(10) &amp; TEXT(NOW(), "mmmm d, yyyy    h:mm AM/PM")</f>
        <v xml:space="preserve"> Last Updated: 
September 19, 2026    11:33 PM</v>
      </c>
    </row>
    <row r="170" spans="1:15" x14ac:dyDescent="0.3">
      <c r="A170" s="32" t="str">
        <f>"Expense Period : "&amp;IF(COUNTA(Analysis!A130:A141)&lt;12,_xlfn.TEXTJOIN(", ",TRUE,Analysis!A130:A141), Analysis!A130&amp;" - "&amp;Analysis!A141)&amp;" 2025| Dynamic &amp; Slicer-Driven"</f>
        <v>Expense Period : Jan - Dec 2025| Dynamic &amp; Slicer-Driven</v>
      </c>
    </row>
  </sheetData>
  <sortState xmlns:xlrd2="http://schemas.microsoft.com/office/spreadsheetml/2017/richdata2" ref="E7:H19">
    <sortCondition ref="F7:F19"/>
  </sortState>
  <phoneticPr fontId="7" type="noConversion"/>
  <conditionalFormatting pivot="1" sqref="B49:B61">
    <cfRule type="top10" dxfId="4" priority="11" rank="3"/>
  </conditionalFormatting>
  <conditionalFormatting sqref="U105:U119">
    <cfRule type="expression" dxfId="3" priority="3">
      <formula>U105&lt;0</formula>
    </cfRule>
    <cfRule type="expression" dxfId="2" priority="4">
      <formula>U105&gt;0</formula>
    </cfRule>
  </conditionalFormatting>
  <conditionalFormatting pivot="1" sqref="B20">
    <cfRule type="expression" dxfId="1" priority="17">
      <formula>B21&gt;C20</formula>
    </cfRule>
  </conditionalFormatting>
  <conditionalFormatting pivot="1" sqref="B20">
    <cfRule type="expression" dxfId="0" priority="19">
      <formula>B21&lt;C20</formula>
    </cfRule>
  </conditionalFormatting>
  <pageMargins left="0.7" right="0.7" top="0.75" bottom="0.75" header="0.3" footer="0.3"/>
  <pageSetup orientation="portrait" r:id="rId8"/>
  <tableParts count="1">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E7828-7C25-4F42-A90C-5FAAF89D9233}">
  <sheetPr codeName="Sheet5">
    <pageSetUpPr fitToPage="1"/>
  </sheetPr>
  <dimension ref="A1:AM59"/>
  <sheetViews>
    <sheetView showGridLines="0" showRowColHeaders="0" tabSelected="1" zoomScale="80" zoomScaleNormal="80" workbookViewId="0">
      <selection activeCell="AK49" sqref="AK49"/>
    </sheetView>
  </sheetViews>
  <sheetFormatPr defaultRowHeight="14.4" x14ac:dyDescent="0.3"/>
  <cols>
    <col min="1" max="1" width="31.88671875" customWidth="1"/>
    <col min="2" max="2" width="4" customWidth="1"/>
    <col min="3" max="3" width="13.21875" customWidth="1"/>
    <col min="4" max="4" width="16.77734375" customWidth="1"/>
    <col min="5" max="5" width="11.77734375" customWidth="1"/>
    <col min="6" max="6" width="5.44140625" customWidth="1"/>
    <col min="7" max="9" width="20.77734375" customWidth="1"/>
    <col min="10" max="10" width="11.77734375" customWidth="1"/>
    <col min="11" max="11" width="19.44140625" customWidth="1"/>
    <col min="12" max="12" width="2.6640625" customWidth="1"/>
    <col min="14" max="14" width="8.88671875" customWidth="1"/>
    <col min="15" max="15" width="26.88671875" customWidth="1"/>
    <col min="20" max="20" width="3.88671875" customWidth="1"/>
  </cols>
  <sheetData>
    <row r="1" spans="1:39" s="6" customFormat="1" ht="57.6" customHeight="1" x14ac:dyDescent="0.3">
      <c r="A1" s="49"/>
      <c r="B1" s="49"/>
      <c r="C1" s="49"/>
      <c r="D1" s="49"/>
      <c r="E1" s="49"/>
      <c r="F1" s="49"/>
      <c r="G1" s="49"/>
      <c r="H1" s="49"/>
      <c r="I1" s="49"/>
      <c r="J1" s="49"/>
      <c r="K1" s="49"/>
      <c r="L1" s="4"/>
      <c r="M1" s="4"/>
      <c r="N1" s="4"/>
      <c r="O1" s="4"/>
      <c r="P1" s="4"/>
      <c r="Q1" s="4"/>
      <c r="R1" s="4"/>
      <c r="S1" s="4"/>
      <c r="T1" s="4"/>
      <c r="U1"/>
      <c r="V1"/>
      <c r="W1"/>
      <c r="X1"/>
      <c r="Y1"/>
      <c r="Z1"/>
      <c r="AA1"/>
      <c r="AB1"/>
      <c r="AC1"/>
      <c r="AD1"/>
      <c r="AE1"/>
      <c r="AF1"/>
      <c r="AG1"/>
      <c r="AH1"/>
      <c r="AI1"/>
      <c r="AJ1"/>
      <c r="AK1"/>
      <c r="AL1"/>
      <c r="AM1"/>
    </row>
    <row r="2" spans="1:39" ht="28.8" customHeight="1" x14ac:dyDescent="0.3">
      <c r="A2" s="50"/>
      <c r="B2" s="50"/>
      <c r="C2" s="50"/>
      <c r="D2" s="50"/>
      <c r="E2" s="50"/>
      <c r="F2" s="50"/>
      <c r="G2" s="50"/>
      <c r="H2" s="50"/>
      <c r="I2" s="50"/>
      <c r="J2" s="50"/>
      <c r="K2" s="50"/>
      <c r="L2" s="4"/>
      <c r="M2" s="4"/>
      <c r="N2" s="4"/>
      <c r="O2" s="4"/>
      <c r="P2" s="4"/>
      <c r="Q2" s="4"/>
      <c r="R2" s="4"/>
      <c r="S2" s="4"/>
      <c r="T2" s="4"/>
    </row>
    <row r="3" spans="1:39" x14ac:dyDescent="0.3">
      <c r="A3" s="33"/>
      <c r="B3" s="33"/>
      <c r="C3" s="33"/>
      <c r="D3" s="33"/>
      <c r="E3" s="33"/>
      <c r="F3" s="33"/>
      <c r="G3" s="33"/>
      <c r="H3" s="33"/>
      <c r="I3" s="33"/>
      <c r="J3" s="33"/>
      <c r="K3" s="33"/>
      <c r="L3" s="33"/>
      <c r="M3" s="33"/>
      <c r="N3" s="33"/>
      <c r="O3" s="33"/>
      <c r="P3" s="33"/>
      <c r="Q3" s="33"/>
      <c r="R3" s="33"/>
      <c r="S3" s="33"/>
      <c r="T3" s="33"/>
    </row>
    <row r="4" spans="1:39" x14ac:dyDescent="0.3">
      <c r="A4" s="33"/>
      <c r="B4" s="33"/>
      <c r="C4" s="33"/>
      <c r="D4" s="33"/>
      <c r="E4" s="33"/>
      <c r="F4" s="33"/>
      <c r="G4" s="33"/>
      <c r="H4" s="33"/>
      <c r="I4" s="33"/>
      <c r="J4" s="33"/>
      <c r="K4" s="33"/>
      <c r="L4" s="33"/>
      <c r="M4" s="33"/>
      <c r="N4" s="33"/>
      <c r="O4" s="33"/>
      <c r="P4" s="33"/>
      <c r="Q4" s="33"/>
      <c r="R4" s="33"/>
      <c r="S4" s="33"/>
      <c r="T4" s="33"/>
    </row>
    <row r="5" spans="1:39" x14ac:dyDescent="0.3">
      <c r="A5" s="33"/>
      <c r="B5" s="33"/>
      <c r="C5" s="33"/>
      <c r="D5" s="33"/>
      <c r="E5" s="33"/>
      <c r="F5" s="33"/>
      <c r="G5" s="33"/>
      <c r="H5" s="33"/>
      <c r="I5" s="33"/>
      <c r="J5" s="33"/>
      <c r="K5" s="33"/>
      <c r="L5" s="33"/>
      <c r="M5" s="33"/>
      <c r="N5" s="33"/>
      <c r="O5" s="33"/>
      <c r="P5" s="33"/>
      <c r="Q5" s="33"/>
      <c r="R5" s="33"/>
      <c r="S5" s="33"/>
      <c r="T5" s="33"/>
    </row>
    <row r="6" spans="1:39" x14ac:dyDescent="0.3">
      <c r="A6" s="33"/>
      <c r="B6" s="33"/>
      <c r="C6" s="33"/>
      <c r="D6" s="33"/>
      <c r="E6" s="33"/>
      <c r="F6" s="33"/>
      <c r="G6" s="33"/>
      <c r="H6" s="33"/>
      <c r="I6" s="33"/>
      <c r="J6" s="33"/>
      <c r="K6" s="33"/>
      <c r="L6" s="33"/>
      <c r="M6" s="33"/>
      <c r="N6" s="33"/>
      <c r="O6" s="33"/>
      <c r="P6" s="33"/>
      <c r="Q6" s="33"/>
      <c r="R6" s="33"/>
      <c r="S6" s="33"/>
      <c r="T6" s="33"/>
    </row>
    <row r="7" spans="1:39" x14ac:dyDescent="0.3">
      <c r="A7" s="33"/>
      <c r="B7" s="33"/>
      <c r="C7" s="33"/>
      <c r="D7" s="33"/>
      <c r="E7" s="33"/>
      <c r="F7" s="33"/>
      <c r="G7" s="33"/>
      <c r="H7" s="33"/>
      <c r="I7" s="33"/>
      <c r="J7" s="33"/>
      <c r="K7" s="33"/>
      <c r="L7" s="33"/>
      <c r="M7" s="33"/>
      <c r="N7" s="33"/>
      <c r="O7" s="33"/>
      <c r="P7" s="33"/>
      <c r="Q7" s="33"/>
      <c r="R7" s="33"/>
      <c r="S7" s="33"/>
      <c r="T7" s="33"/>
    </row>
    <row r="8" spans="1:39" x14ac:dyDescent="0.3">
      <c r="A8" s="33"/>
      <c r="B8" s="33"/>
      <c r="C8" s="33"/>
      <c r="D8" s="33"/>
      <c r="E8" s="33"/>
      <c r="F8" s="33"/>
      <c r="G8" s="33"/>
      <c r="H8" s="33"/>
      <c r="I8" s="33"/>
      <c r="J8" s="33"/>
      <c r="K8" s="33"/>
      <c r="L8" s="33"/>
      <c r="M8" s="33"/>
      <c r="N8" s="33"/>
      <c r="O8" s="33"/>
      <c r="P8" s="33"/>
      <c r="Q8" s="33"/>
      <c r="R8" s="33"/>
      <c r="S8" s="33"/>
      <c r="T8" s="33"/>
    </row>
    <row r="9" spans="1:39" x14ac:dyDescent="0.3">
      <c r="A9" s="33"/>
      <c r="B9" s="33"/>
      <c r="C9" s="33"/>
      <c r="D9" s="33"/>
      <c r="E9" s="33"/>
      <c r="F9" s="33"/>
      <c r="G9" s="33"/>
      <c r="H9" s="33"/>
      <c r="I9" s="33"/>
      <c r="J9" s="33"/>
      <c r="K9" s="33"/>
      <c r="L9" s="33"/>
      <c r="M9" s="33"/>
      <c r="N9" s="33"/>
      <c r="O9" s="33"/>
      <c r="P9" s="33"/>
      <c r="Q9" s="33"/>
      <c r="R9" s="33"/>
      <c r="S9" s="33"/>
      <c r="T9" s="33"/>
    </row>
    <row r="10" spans="1:39" x14ac:dyDescent="0.3">
      <c r="A10" s="33"/>
      <c r="B10" s="33"/>
      <c r="C10" s="33"/>
      <c r="D10" s="33"/>
      <c r="E10" s="33"/>
      <c r="F10" s="33"/>
      <c r="G10" s="33"/>
      <c r="H10" s="33"/>
      <c r="I10" s="33"/>
      <c r="J10" s="33"/>
      <c r="K10" s="33"/>
      <c r="L10" s="33"/>
      <c r="M10" s="33"/>
      <c r="N10" s="33"/>
      <c r="O10" s="33"/>
      <c r="P10" s="33"/>
      <c r="Q10" s="33"/>
      <c r="R10" s="33"/>
      <c r="S10" s="33"/>
      <c r="T10" s="33"/>
    </row>
    <row r="11" spans="1:39" x14ac:dyDescent="0.3">
      <c r="A11" s="33"/>
      <c r="B11" s="33"/>
      <c r="C11" s="33"/>
      <c r="D11" s="33"/>
      <c r="E11" s="33"/>
      <c r="F11" s="33"/>
      <c r="G11" s="33"/>
      <c r="H11" s="33"/>
      <c r="I11" s="33"/>
      <c r="J11" s="33"/>
      <c r="K11" s="33"/>
      <c r="L11" s="33"/>
      <c r="M11" s="33"/>
      <c r="N11" s="33"/>
      <c r="O11" s="33"/>
      <c r="P11" s="33"/>
      <c r="Q11" s="33"/>
      <c r="R11" s="33"/>
      <c r="S11" s="33"/>
      <c r="T11" s="33"/>
    </row>
    <row r="12" spans="1:39" ht="15.6" x14ac:dyDescent="0.3">
      <c r="A12" s="33"/>
      <c r="B12" s="33"/>
      <c r="C12" s="34"/>
      <c r="D12" s="34"/>
      <c r="E12" s="34"/>
      <c r="F12" s="33"/>
      <c r="G12" s="33"/>
      <c r="H12" s="33"/>
      <c r="I12" s="33"/>
      <c r="J12" s="33"/>
      <c r="K12" s="34"/>
      <c r="L12" s="34"/>
      <c r="M12" s="33"/>
      <c r="N12" s="33"/>
      <c r="O12" s="34"/>
      <c r="P12" s="33"/>
      <c r="Q12" s="33"/>
      <c r="R12" s="33"/>
      <c r="S12" s="33"/>
      <c r="T12" s="33"/>
    </row>
    <row r="13" spans="1:39" x14ac:dyDescent="0.3">
      <c r="A13" s="33"/>
      <c r="B13" s="33"/>
      <c r="C13" s="33"/>
      <c r="D13" s="33"/>
      <c r="E13" s="33"/>
      <c r="F13" s="33"/>
      <c r="G13" s="33"/>
      <c r="H13" s="33"/>
      <c r="I13" s="33"/>
      <c r="J13" s="33"/>
      <c r="K13" s="33"/>
      <c r="L13" s="33"/>
      <c r="M13" s="33"/>
      <c r="N13" s="33"/>
      <c r="O13" s="33"/>
      <c r="P13" s="33"/>
      <c r="Q13" s="33"/>
      <c r="R13" s="33"/>
      <c r="S13" s="33"/>
      <c r="T13" s="33"/>
    </row>
    <row r="14" spans="1:39" x14ac:dyDescent="0.3">
      <c r="A14" s="33"/>
      <c r="B14" s="33"/>
      <c r="C14" s="33"/>
      <c r="D14" s="35"/>
      <c r="E14" s="36"/>
      <c r="F14" s="33"/>
      <c r="G14" s="33"/>
      <c r="H14" s="33"/>
      <c r="I14" s="33"/>
      <c r="J14" s="33"/>
      <c r="K14" s="33"/>
      <c r="L14" s="35"/>
      <c r="M14" s="33"/>
      <c r="N14" s="33"/>
      <c r="O14" s="37"/>
      <c r="P14" s="33"/>
      <c r="Q14" s="33"/>
      <c r="R14" s="33"/>
      <c r="S14" s="33"/>
      <c r="T14" s="33"/>
    </row>
    <row r="15" spans="1:39" x14ac:dyDescent="0.3">
      <c r="A15" s="33"/>
      <c r="B15" s="33"/>
      <c r="C15" s="33"/>
      <c r="D15" s="35"/>
      <c r="E15" s="36"/>
      <c r="F15" s="33"/>
      <c r="G15" s="33"/>
      <c r="H15" s="33"/>
      <c r="I15" s="33"/>
      <c r="J15" s="33"/>
      <c r="K15" s="33"/>
      <c r="L15" s="35"/>
      <c r="M15" s="33"/>
      <c r="N15" s="33"/>
      <c r="O15" s="37"/>
      <c r="P15" s="33"/>
      <c r="Q15" s="33"/>
      <c r="R15" s="33"/>
      <c r="S15" s="33"/>
      <c r="T15" s="33"/>
    </row>
    <row r="16" spans="1:39" x14ac:dyDescent="0.3">
      <c r="A16" s="33"/>
      <c r="B16" s="33"/>
      <c r="C16" s="33"/>
      <c r="D16" s="35"/>
      <c r="E16" s="36"/>
      <c r="F16" s="33"/>
      <c r="G16" s="33"/>
      <c r="H16" s="33"/>
      <c r="I16" s="33"/>
      <c r="J16" s="33"/>
      <c r="K16" s="33"/>
      <c r="L16" s="35"/>
      <c r="M16" s="33"/>
      <c r="N16" s="33"/>
      <c r="O16" s="37"/>
      <c r="P16" s="33"/>
      <c r="Q16" s="33"/>
      <c r="R16" s="33"/>
      <c r="S16" s="33"/>
      <c r="T16" s="33"/>
    </row>
    <row r="17" spans="1:20" x14ac:dyDescent="0.3">
      <c r="A17" s="33"/>
      <c r="B17" s="33"/>
      <c r="C17" s="33"/>
      <c r="D17" s="35"/>
      <c r="E17" s="36"/>
      <c r="F17" s="33"/>
      <c r="G17" s="33"/>
      <c r="H17" s="33"/>
      <c r="I17" s="33"/>
      <c r="J17" s="33"/>
      <c r="K17" s="33"/>
      <c r="L17" s="35"/>
      <c r="M17" s="33"/>
      <c r="N17" s="33"/>
      <c r="O17" s="37"/>
      <c r="P17" s="33"/>
      <c r="Q17" s="33"/>
      <c r="R17" s="33"/>
      <c r="S17" s="33"/>
      <c r="T17" s="33"/>
    </row>
    <row r="18" spans="1:20" x14ac:dyDescent="0.3">
      <c r="A18" s="33"/>
      <c r="B18" s="33"/>
      <c r="C18" s="33"/>
      <c r="D18" s="35"/>
      <c r="E18" s="36"/>
      <c r="F18" s="33"/>
      <c r="G18" s="33"/>
      <c r="H18" s="33"/>
      <c r="I18" s="33"/>
      <c r="J18" s="33"/>
      <c r="K18" s="33"/>
      <c r="L18" s="35"/>
      <c r="M18" s="33"/>
      <c r="N18" s="33"/>
      <c r="O18" s="37"/>
      <c r="P18" s="33"/>
      <c r="Q18" s="33"/>
      <c r="R18" s="33"/>
      <c r="S18" s="33"/>
      <c r="T18" s="33"/>
    </row>
    <row r="19" spans="1:20" x14ac:dyDescent="0.3">
      <c r="A19" s="33"/>
      <c r="B19" s="33"/>
      <c r="C19" s="33"/>
      <c r="D19" s="35"/>
      <c r="E19" s="36"/>
      <c r="F19" s="33"/>
      <c r="G19" s="33"/>
      <c r="H19" s="33"/>
      <c r="I19" s="33"/>
      <c r="J19" s="33"/>
      <c r="K19" s="38"/>
      <c r="L19" s="39"/>
      <c r="M19" s="33"/>
      <c r="N19" s="33"/>
      <c r="O19" s="40"/>
      <c r="P19" s="33"/>
      <c r="Q19" s="33"/>
      <c r="R19" s="33"/>
      <c r="S19" s="33"/>
      <c r="T19" s="33"/>
    </row>
    <row r="20" spans="1:20" x14ac:dyDescent="0.3">
      <c r="A20" s="33"/>
      <c r="B20" s="33"/>
      <c r="C20" s="33"/>
      <c r="D20" s="35"/>
      <c r="E20" s="36"/>
      <c r="F20" s="33"/>
      <c r="G20" s="33"/>
      <c r="H20" s="33"/>
      <c r="I20" s="33"/>
      <c r="J20" s="33"/>
      <c r="K20" s="33"/>
      <c r="L20" s="33"/>
      <c r="M20" s="33"/>
      <c r="N20" s="33"/>
      <c r="O20" s="33"/>
      <c r="P20" s="33"/>
      <c r="Q20" s="33"/>
      <c r="R20" s="33"/>
      <c r="S20" s="33"/>
      <c r="T20" s="33"/>
    </row>
    <row r="21" spans="1:20" x14ac:dyDescent="0.3">
      <c r="A21" s="33"/>
      <c r="B21" s="33"/>
      <c r="C21" s="33"/>
      <c r="D21" s="35"/>
      <c r="E21" s="36"/>
      <c r="F21" s="33"/>
      <c r="G21" s="33"/>
      <c r="H21" s="33"/>
      <c r="I21" s="33"/>
      <c r="J21" s="33"/>
      <c r="K21" s="33"/>
      <c r="L21" s="33"/>
      <c r="M21" s="33"/>
      <c r="N21" s="33"/>
      <c r="O21" s="33"/>
      <c r="P21" s="33"/>
      <c r="Q21" s="33"/>
      <c r="R21" s="33"/>
      <c r="S21" s="33"/>
      <c r="T21" s="33"/>
    </row>
    <row r="22" spans="1:20" x14ac:dyDescent="0.3">
      <c r="A22" s="33"/>
      <c r="B22" s="33"/>
      <c r="C22" s="33"/>
      <c r="D22" s="35"/>
      <c r="E22" s="36"/>
      <c r="F22" s="33"/>
      <c r="G22" s="33"/>
      <c r="H22" s="33"/>
      <c r="I22" s="33"/>
      <c r="J22" s="33"/>
      <c r="K22" s="33"/>
      <c r="L22" s="33"/>
      <c r="M22" s="33"/>
      <c r="N22" s="33"/>
      <c r="O22" s="33"/>
      <c r="P22" s="33"/>
      <c r="Q22" s="33"/>
      <c r="R22" s="33"/>
      <c r="S22" s="33"/>
      <c r="T22" s="33"/>
    </row>
    <row r="23" spans="1:20" x14ac:dyDescent="0.3">
      <c r="A23" s="33"/>
      <c r="B23" s="33"/>
      <c r="C23" s="33"/>
      <c r="D23" s="35"/>
      <c r="E23" s="36"/>
      <c r="F23" s="33"/>
      <c r="G23" s="33"/>
      <c r="H23" s="33"/>
      <c r="I23" s="33"/>
      <c r="J23" s="33"/>
      <c r="K23" s="33"/>
      <c r="L23" s="33"/>
      <c r="M23" s="33"/>
      <c r="N23" s="33"/>
      <c r="O23" s="33"/>
      <c r="P23" s="33"/>
      <c r="Q23" s="33"/>
      <c r="R23" s="33"/>
      <c r="S23" s="33"/>
      <c r="T23" s="33"/>
    </row>
    <row r="24" spans="1:20" x14ac:dyDescent="0.3">
      <c r="A24" s="33"/>
      <c r="B24" s="33"/>
      <c r="C24" s="33"/>
      <c r="D24" s="35"/>
      <c r="E24" s="36"/>
      <c r="F24" s="33"/>
      <c r="G24" s="33"/>
      <c r="H24" s="33"/>
      <c r="I24" s="33"/>
      <c r="J24" s="33"/>
      <c r="K24" s="33"/>
      <c r="L24" s="33"/>
      <c r="M24" s="33"/>
      <c r="N24" s="33"/>
      <c r="O24" s="33"/>
      <c r="P24" s="33"/>
      <c r="Q24" s="33"/>
      <c r="R24" s="33"/>
      <c r="S24" s="33"/>
      <c r="T24" s="33"/>
    </row>
    <row r="25" spans="1:20" x14ac:dyDescent="0.3">
      <c r="A25" s="33"/>
      <c r="B25" s="33"/>
      <c r="C25" s="33"/>
      <c r="D25" s="35"/>
      <c r="E25" s="36"/>
      <c r="F25" s="33"/>
      <c r="G25" s="33"/>
      <c r="H25" s="33"/>
      <c r="I25" s="33"/>
      <c r="J25" s="33"/>
      <c r="K25" s="33"/>
      <c r="L25" s="33"/>
      <c r="M25" s="33"/>
      <c r="N25" s="33"/>
      <c r="O25" s="33"/>
      <c r="P25" s="33"/>
      <c r="Q25" s="33"/>
      <c r="R25" s="33"/>
      <c r="S25" s="33"/>
      <c r="T25" s="33"/>
    </row>
    <row r="26" spans="1:20" x14ac:dyDescent="0.3">
      <c r="A26" s="33"/>
      <c r="B26" s="33"/>
      <c r="C26" s="38"/>
      <c r="D26" s="39"/>
      <c r="E26" s="41"/>
      <c r="F26" s="33"/>
      <c r="G26" s="33"/>
      <c r="H26" s="33"/>
      <c r="I26" s="33"/>
      <c r="J26" s="33"/>
      <c r="K26" s="33"/>
      <c r="L26" s="33"/>
      <c r="M26" s="33"/>
      <c r="N26" s="33"/>
      <c r="O26" s="33"/>
      <c r="P26" s="33"/>
      <c r="Q26" s="33"/>
      <c r="R26" s="33"/>
      <c r="S26" s="33"/>
      <c r="T26" s="33"/>
    </row>
    <row r="27" spans="1:20" x14ac:dyDescent="0.3">
      <c r="A27" s="33"/>
      <c r="B27" s="33"/>
      <c r="C27" s="33"/>
      <c r="D27" s="33"/>
      <c r="E27" s="33"/>
      <c r="F27" s="33"/>
      <c r="G27" s="33"/>
      <c r="H27" s="33"/>
      <c r="I27" s="33"/>
      <c r="J27" s="33"/>
      <c r="K27" s="33"/>
      <c r="L27" s="33"/>
      <c r="M27" s="33"/>
      <c r="N27" s="33"/>
      <c r="O27" s="33"/>
      <c r="P27" s="33"/>
      <c r="Q27" s="33"/>
      <c r="R27" s="33"/>
      <c r="S27" s="33"/>
      <c r="T27" s="33"/>
    </row>
    <row r="28" spans="1:20" x14ac:dyDescent="0.3">
      <c r="A28" s="33"/>
      <c r="B28" s="33"/>
      <c r="C28" s="33"/>
      <c r="D28" s="33"/>
      <c r="E28" s="33"/>
      <c r="F28" s="33"/>
      <c r="G28" s="33"/>
      <c r="H28" s="33"/>
      <c r="I28" s="33"/>
      <c r="J28" s="33"/>
      <c r="K28" s="33"/>
      <c r="L28" s="33"/>
      <c r="M28" s="33"/>
      <c r="N28" s="33"/>
      <c r="O28" s="33"/>
      <c r="P28" s="33"/>
      <c r="Q28" s="33"/>
      <c r="R28" s="33"/>
      <c r="S28" s="33"/>
      <c r="T28" s="33"/>
    </row>
    <row r="29" spans="1:20" x14ac:dyDescent="0.3">
      <c r="A29" s="33"/>
      <c r="B29" s="33"/>
      <c r="C29" s="33"/>
      <c r="D29" s="33"/>
      <c r="E29" s="33"/>
      <c r="F29" s="33"/>
      <c r="G29" s="33"/>
      <c r="H29" s="33"/>
      <c r="I29" s="33"/>
      <c r="J29" s="33"/>
      <c r="K29" s="33"/>
      <c r="L29" s="33"/>
      <c r="M29" s="33"/>
      <c r="N29" s="33"/>
      <c r="O29" s="33"/>
      <c r="P29" s="33"/>
      <c r="Q29" s="33"/>
      <c r="R29" s="33"/>
      <c r="S29" s="33"/>
      <c r="T29" s="33"/>
    </row>
    <row r="30" spans="1:20" x14ac:dyDescent="0.3">
      <c r="A30" s="33"/>
      <c r="B30" s="33"/>
      <c r="C30" s="33"/>
      <c r="D30" s="33"/>
      <c r="E30" s="33"/>
      <c r="F30" s="33"/>
      <c r="G30" s="33"/>
      <c r="H30" s="33"/>
      <c r="I30" s="33"/>
      <c r="J30" s="33"/>
      <c r="K30" s="33"/>
      <c r="L30" s="33"/>
      <c r="M30" s="33"/>
      <c r="N30" s="33"/>
      <c r="O30" s="33"/>
      <c r="P30" s="33"/>
      <c r="Q30" s="33"/>
      <c r="R30" s="33"/>
      <c r="S30" s="33"/>
      <c r="T30" s="33"/>
    </row>
    <row r="31" spans="1:20" x14ac:dyDescent="0.3">
      <c r="A31" s="33"/>
      <c r="B31" s="33"/>
      <c r="C31" s="33"/>
      <c r="D31" s="33"/>
      <c r="E31" s="33"/>
      <c r="F31" s="33"/>
      <c r="G31" s="33"/>
      <c r="H31" s="33"/>
      <c r="I31" s="33"/>
      <c r="J31" s="33"/>
      <c r="K31" s="33"/>
      <c r="L31" s="33"/>
      <c r="M31" s="33"/>
      <c r="N31" s="33"/>
      <c r="O31" s="33"/>
      <c r="P31" s="33"/>
      <c r="Q31" s="33"/>
      <c r="R31" s="33"/>
      <c r="S31" s="33"/>
      <c r="T31" s="33"/>
    </row>
    <row r="32" spans="1:20" x14ac:dyDescent="0.3">
      <c r="A32" s="33"/>
      <c r="B32" s="33"/>
      <c r="C32" s="33"/>
      <c r="D32" s="33"/>
      <c r="E32" s="33"/>
      <c r="F32" s="33"/>
      <c r="G32" s="33"/>
      <c r="H32" s="33"/>
      <c r="I32" s="33"/>
      <c r="J32" s="33"/>
      <c r="K32" s="33"/>
      <c r="L32" s="33"/>
      <c r="M32" s="33"/>
      <c r="N32" s="33"/>
      <c r="O32" s="33"/>
      <c r="P32" s="33"/>
      <c r="Q32" s="33"/>
      <c r="R32" s="33"/>
      <c r="S32" s="33"/>
      <c r="T32" s="33"/>
    </row>
    <row r="33" spans="1:20" x14ac:dyDescent="0.3">
      <c r="A33" s="33"/>
      <c r="B33" s="33"/>
      <c r="C33" s="33"/>
      <c r="D33" s="33"/>
      <c r="E33" s="33"/>
      <c r="F33" s="33"/>
      <c r="G33" s="33"/>
      <c r="H33" s="33"/>
      <c r="I33" s="33"/>
      <c r="J33" s="33"/>
      <c r="K33" s="33"/>
      <c r="L33" s="33"/>
      <c r="M33" s="33"/>
      <c r="N33" s="33"/>
      <c r="O33" s="33"/>
      <c r="P33" s="33"/>
      <c r="Q33" s="33"/>
      <c r="R33" s="33"/>
      <c r="S33" s="33"/>
      <c r="T33" s="33"/>
    </row>
    <row r="34" spans="1:20" x14ac:dyDescent="0.3">
      <c r="A34" s="33"/>
      <c r="B34" s="33"/>
      <c r="C34" s="33"/>
      <c r="D34" s="33"/>
      <c r="E34" s="33"/>
      <c r="F34" s="33"/>
      <c r="G34" s="33"/>
      <c r="H34" s="33"/>
      <c r="I34" s="33"/>
      <c r="J34" s="33"/>
      <c r="K34" s="33"/>
      <c r="L34" s="33"/>
      <c r="M34" s="33"/>
      <c r="N34" s="33"/>
      <c r="O34" s="33"/>
      <c r="P34" s="33"/>
      <c r="Q34" s="33"/>
      <c r="R34" s="33"/>
      <c r="S34" s="33"/>
      <c r="T34" s="33"/>
    </row>
    <row r="35" spans="1:20" x14ac:dyDescent="0.3">
      <c r="A35" s="33"/>
      <c r="B35" s="33"/>
      <c r="C35" s="33"/>
      <c r="D35" s="33"/>
      <c r="E35" s="33"/>
      <c r="F35" s="33"/>
      <c r="G35" s="33"/>
      <c r="H35" s="33"/>
      <c r="I35" s="33"/>
      <c r="J35" s="33"/>
      <c r="K35" s="33"/>
      <c r="L35" s="33"/>
      <c r="M35" s="33"/>
      <c r="N35" s="33"/>
      <c r="O35" s="33"/>
      <c r="P35" s="33"/>
      <c r="Q35" s="33"/>
      <c r="R35" s="33"/>
      <c r="S35" s="33"/>
      <c r="T35" s="33"/>
    </row>
    <row r="36" spans="1:20" x14ac:dyDescent="0.3">
      <c r="A36" s="33"/>
      <c r="B36" s="33"/>
      <c r="C36" s="33"/>
      <c r="D36" s="33"/>
      <c r="E36" s="33"/>
      <c r="F36" s="33"/>
      <c r="G36" s="33"/>
      <c r="H36" s="33"/>
      <c r="I36" s="33"/>
      <c r="J36" s="33"/>
      <c r="K36" s="33"/>
      <c r="L36" s="33"/>
      <c r="M36" s="33"/>
      <c r="N36" s="33"/>
      <c r="O36" s="33"/>
      <c r="P36" s="33"/>
      <c r="Q36" s="33"/>
      <c r="R36" s="33"/>
      <c r="S36" s="33"/>
      <c r="T36" s="33"/>
    </row>
    <row r="37" spans="1:20" x14ac:dyDescent="0.3">
      <c r="A37" s="33"/>
      <c r="B37" s="33"/>
      <c r="C37" s="33"/>
      <c r="D37" s="33"/>
      <c r="E37" s="33"/>
      <c r="F37" s="33"/>
      <c r="G37" s="33"/>
      <c r="H37" s="33"/>
      <c r="I37" s="33"/>
      <c r="J37" s="33"/>
      <c r="K37" s="33"/>
      <c r="L37" s="33"/>
      <c r="M37" s="33"/>
      <c r="N37" s="33"/>
      <c r="O37" s="33"/>
      <c r="P37" s="33"/>
      <c r="Q37" s="33"/>
      <c r="R37" s="33"/>
      <c r="S37" s="33"/>
      <c r="T37" s="33"/>
    </row>
    <row r="38" spans="1:20" x14ac:dyDescent="0.3">
      <c r="A38" s="33"/>
      <c r="B38" s="33"/>
      <c r="C38" s="33"/>
      <c r="D38" s="33"/>
      <c r="E38" s="33"/>
      <c r="F38" s="33"/>
      <c r="G38" s="33"/>
      <c r="H38" s="33"/>
      <c r="I38" s="33"/>
      <c r="J38" s="33"/>
      <c r="K38" s="33"/>
      <c r="L38" s="33"/>
      <c r="M38" s="33"/>
      <c r="N38" s="33"/>
      <c r="O38" s="33"/>
      <c r="P38" s="33"/>
      <c r="Q38" s="33"/>
      <c r="R38" s="33"/>
      <c r="S38" s="33"/>
      <c r="T38" s="33"/>
    </row>
    <row r="39" spans="1:20" x14ac:dyDescent="0.3">
      <c r="A39" s="33"/>
      <c r="B39" s="33"/>
      <c r="C39" s="33"/>
      <c r="D39" s="33"/>
      <c r="E39" s="33"/>
      <c r="F39" s="33"/>
      <c r="G39" s="33"/>
      <c r="H39" s="33"/>
      <c r="I39" s="33"/>
      <c r="J39" s="33"/>
      <c r="K39" s="33"/>
      <c r="L39" s="33"/>
      <c r="M39" s="33"/>
      <c r="N39" s="33"/>
      <c r="O39" s="33"/>
      <c r="P39" s="33"/>
      <c r="Q39" s="33"/>
      <c r="R39" s="33"/>
      <c r="S39" s="33"/>
      <c r="T39" s="33"/>
    </row>
    <row r="40" spans="1:20" x14ac:dyDescent="0.3">
      <c r="A40" s="33"/>
      <c r="B40" s="33"/>
      <c r="C40" s="33"/>
      <c r="D40" s="33"/>
      <c r="E40" s="33"/>
      <c r="F40" s="33"/>
      <c r="G40" s="33"/>
      <c r="H40" s="33"/>
      <c r="I40" s="33"/>
      <c r="J40" s="33"/>
      <c r="K40" s="33"/>
      <c r="L40" s="33"/>
      <c r="M40" s="33"/>
      <c r="N40" s="33"/>
      <c r="O40" s="33"/>
      <c r="P40" s="33"/>
      <c r="Q40" s="33"/>
      <c r="R40" s="33"/>
      <c r="S40" s="33"/>
      <c r="T40" s="33"/>
    </row>
    <row r="41" spans="1:20" x14ac:dyDescent="0.3">
      <c r="A41" s="33"/>
      <c r="B41" s="33"/>
      <c r="C41" s="33"/>
      <c r="D41" s="33"/>
      <c r="E41" s="33"/>
      <c r="F41" s="33"/>
      <c r="G41" s="33"/>
      <c r="H41" s="33"/>
      <c r="I41" s="33"/>
      <c r="J41" s="33"/>
      <c r="K41" s="33"/>
      <c r="L41" s="33"/>
      <c r="M41" s="33"/>
      <c r="N41" s="33"/>
      <c r="O41" s="33"/>
      <c r="P41" s="33"/>
      <c r="Q41" s="33"/>
      <c r="R41" s="33"/>
      <c r="S41" s="33"/>
      <c r="T41" s="33"/>
    </row>
    <row r="42" spans="1:20" x14ac:dyDescent="0.3">
      <c r="A42" s="33"/>
      <c r="B42" s="33"/>
      <c r="C42" s="33"/>
      <c r="D42" s="33"/>
      <c r="E42" s="33"/>
      <c r="F42" s="33"/>
      <c r="G42" s="33"/>
      <c r="H42" s="33"/>
      <c r="I42" s="33"/>
      <c r="J42" s="33"/>
      <c r="K42" s="33"/>
      <c r="L42" s="33"/>
      <c r="M42" s="33"/>
      <c r="N42" s="33"/>
      <c r="O42" s="33"/>
      <c r="P42" s="33"/>
      <c r="Q42" s="33"/>
      <c r="R42" s="33"/>
      <c r="S42" s="33"/>
      <c r="T42" s="33"/>
    </row>
    <row r="43" spans="1:20" x14ac:dyDescent="0.3">
      <c r="A43" s="33"/>
      <c r="B43" s="33"/>
      <c r="C43" s="33"/>
      <c r="D43" s="33"/>
      <c r="E43" s="33"/>
      <c r="F43" s="33"/>
      <c r="G43" s="33"/>
      <c r="H43" s="33"/>
      <c r="I43" s="33"/>
      <c r="J43" s="33"/>
      <c r="K43" s="33"/>
      <c r="L43" s="33"/>
      <c r="M43" s="33"/>
      <c r="N43" s="33"/>
      <c r="O43" s="33"/>
      <c r="P43" s="33"/>
      <c r="Q43" s="33"/>
      <c r="R43" s="33"/>
      <c r="S43" s="33"/>
      <c r="T43" s="33"/>
    </row>
    <row r="44" spans="1:20" x14ac:dyDescent="0.3">
      <c r="A44" s="33"/>
      <c r="B44" s="33"/>
      <c r="C44" s="33"/>
      <c r="D44" s="33"/>
      <c r="E44" s="33"/>
      <c r="F44" s="33"/>
      <c r="G44" s="33"/>
      <c r="H44" s="33"/>
      <c r="I44" s="33"/>
      <c r="J44" s="33"/>
      <c r="K44" s="33"/>
      <c r="L44" s="33"/>
      <c r="M44" s="33"/>
      <c r="N44" s="33"/>
      <c r="O44" s="33"/>
      <c r="P44" s="33"/>
      <c r="Q44" s="33"/>
      <c r="R44" s="33"/>
      <c r="S44" s="33"/>
      <c r="T44" s="33"/>
    </row>
    <row r="45" spans="1:20" x14ac:dyDescent="0.3">
      <c r="A45" s="33"/>
      <c r="B45" s="33"/>
      <c r="C45" s="33"/>
      <c r="D45" s="33"/>
      <c r="E45" s="33"/>
      <c r="F45" s="33"/>
      <c r="G45" s="33"/>
      <c r="H45" s="33"/>
      <c r="I45" s="33"/>
      <c r="J45" s="33"/>
      <c r="K45" s="33"/>
      <c r="L45" s="33"/>
      <c r="M45" s="33"/>
      <c r="N45" s="33"/>
      <c r="O45" s="33"/>
      <c r="P45" s="33"/>
      <c r="Q45" s="33"/>
      <c r="R45" s="33"/>
      <c r="S45" s="33"/>
      <c r="T45" s="33"/>
    </row>
    <row r="46" spans="1:20" x14ac:dyDescent="0.3">
      <c r="A46" s="33"/>
      <c r="B46" s="33"/>
      <c r="C46" s="33"/>
      <c r="D46" s="33"/>
      <c r="E46" s="33"/>
      <c r="F46" s="33"/>
      <c r="G46" s="33"/>
      <c r="H46" s="33"/>
      <c r="I46" s="33"/>
      <c r="J46" s="33"/>
      <c r="K46" s="33"/>
      <c r="L46" s="33"/>
      <c r="M46" s="33"/>
      <c r="N46" s="33"/>
      <c r="O46" s="33"/>
      <c r="P46" s="33"/>
      <c r="Q46" s="33"/>
      <c r="R46" s="33"/>
      <c r="S46" s="33"/>
      <c r="T46" s="33"/>
    </row>
    <row r="47" spans="1:20" x14ac:dyDescent="0.3">
      <c r="A47" s="33"/>
      <c r="B47" s="33"/>
      <c r="C47" s="33"/>
      <c r="D47" s="42"/>
      <c r="E47" s="33"/>
      <c r="F47" s="33"/>
      <c r="G47" s="33"/>
      <c r="H47" s="33"/>
      <c r="I47" s="33"/>
      <c r="J47" s="33"/>
      <c r="K47" s="33"/>
      <c r="L47" s="33"/>
      <c r="M47" s="33"/>
      <c r="N47" s="33"/>
      <c r="O47" s="33"/>
      <c r="P47" s="33"/>
      <c r="Q47" s="33"/>
      <c r="R47" s="33"/>
      <c r="S47" s="33"/>
      <c r="T47" s="33"/>
    </row>
    <row r="48" spans="1:20" x14ac:dyDescent="0.3">
      <c r="A48" s="33"/>
      <c r="B48" s="33"/>
      <c r="C48" s="33"/>
      <c r="D48" s="42"/>
      <c r="E48" s="33"/>
      <c r="F48" s="33"/>
      <c r="G48" s="33"/>
      <c r="H48" s="33"/>
      <c r="I48" s="33"/>
      <c r="J48" s="33"/>
      <c r="K48" s="33"/>
      <c r="L48" s="33"/>
      <c r="M48" s="33"/>
      <c r="N48" s="33"/>
      <c r="O48" s="33"/>
      <c r="P48" s="33"/>
      <c r="Q48" s="33"/>
      <c r="R48" s="33"/>
      <c r="S48" s="33"/>
      <c r="T48" s="33"/>
    </row>
    <row r="49" spans="1:20" x14ac:dyDescent="0.3">
      <c r="A49" s="33"/>
      <c r="B49" s="33"/>
      <c r="C49" s="33"/>
      <c r="D49" s="42"/>
      <c r="E49" s="33"/>
      <c r="F49" s="33"/>
      <c r="G49" s="33"/>
      <c r="H49" s="33"/>
      <c r="I49" s="33"/>
      <c r="J49" s="33"/>
      <c r="K49" s="33"/>
      <c r="L49" s="33"/>
      <c r="M49" s="33"/>
      <c r="N49" s="33"/>
      <c r="O49" s="33"/>
      <c r="P49" s="33"/>
      <c r="Q49" s="33"/>
      <c r="R49" s="33"/>
      <c r="S49" s="33"/>
      <c r="T49" s="33"/>
    </row>
    <row r="50" spans="1:20" x14ac:dyDescent="0.3">
      <c r="A50" s="33"/>
      <c r="B50" s="33"/>
      <c r="C50" s="33"/>
      <c r="D50" s="42"/>
      <c r="E50" s="33"/>
      <c r="F50" s="33"/>
      <c r="G50" s="33"/>
      <c r="H50" s="33"/>
      <c r="I50" s="33"/>
      <c r="J50" s="33"/>
      <c r="K50" s="33"/>
      <c r="L50" s="33"/>
      <c r="M50" s="33"/>
      <c r="N50" s="33"/>
      <c r="O50" s="33"/>
      <c r="P50" s="33"/>
      <c r="Q50" s="33"/>
      <c r="R50" s="33"/>
      <c r="S50" s="33"/>
      <c r="T50" s="33"/>
    </row>
    <row r="51" spans="1:20" x14ac:dyDescent="0.3">
      <c r="A51" s="33"/>
      <c r="B51" s="33"/>
      <c r="C51" s="33"/>
      <c r="D51" s="42"/>
      <c r="E51" s="33"/>
      <c r="F51" s="33"/>
      <c r="G51" s="33"/>
      <c r="H51" s="33"/>
      <c r="I51" s="33"/>
      <c r="J51" s="33"/>
      <c r="K51" s="33"/>
      <c r="L51" s="33"/>
      <c r="M51" s="33"/>
      <c r="N51" s="33"/>
      <c r="O51" s="33"/>
      <c r="P51" s="33"/>
      <c r="Q51" s="33"/>
      <c r="R51" s="33"/>
      <c r="S51" s="33"/>
      <c r="T51" s="33"/>
    </row>
    <row r="52" spans="1:20" x14ac:dyDescent="0.3">
      <c r="D52" s="43"/>
    </row>
    <row r="53" spans="1:20" x14ac:dyDescent="0.3">
      <c r="D53" s="43"/>
    </row>
    <row r="54" spans="1:20" x14ac:dyDescent="0.3">
      <c r="D54" s="43"/>
    </row>
    <row r="55" spans="1:20" x14ac:dyDescent="0.3">
      <c r="D55" s="43"/>
    </row>
    <row r="56" spans="1:20" x14ac:dyDescent="0.3">
      <c r="D56" s="43"/>
    </row>
    <row r="57" spans="1:20" x14ac:dyDescent="0.3">
      <c r="D57" s="43"/>
    </row>
    <row r="58" spans="1:20" x14ac:dyDescent="0.3">
      <c r="D58" s="43"/>
    </row>
    <row r="59" spans="1:20" x14ac:dyDescent="0.3">
      <c r="D59" s="43"/>
    </row>
  </sheetData>
  <mergeCells count="2">
    <mergeCell ref="A1:K1"/>
    <mergeCell ref="A2:K2"/>
  </mergeCells>
  <printOptions horizontalCentered="1"/>
  <pageMargins left="0.25" right="0.25" top="0.25" bottom="0.25" header="0" footer="0"/>
  <pageSetup scale="51" orientation="landscape" r:id="rId1"/>
  <headerFooter>
    <oddFooter>&amp;C&amp;A&amp;R&amp;8Shilpa patel • Last Updated: &amp;D &amp;T | Excel • Power Query • PivotTables • PivotCharts • GETPIVOTDATA • XLOOKUP</oddFooter>
  </headerFooter>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8F17EF-9550-4F1E-8C5D-ABD6BB4C86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Category</vt:lpstr>
      <vt:lpstr>Budget</vt:lpstr>
      <vt:lpstr>Actual</vt:lpstr>
      <vt:lpstr>Analysis</vt:lpstr>
      <vt:lpstr>Household Expense Dashboard</vt:lpstr>
      <vt:lpstr>Budget!Categories</vt:lpstr>
      <vt:lpstr>'Household Expense Dashboard'!Categories</vt:lpstr>
      <vt:lpstr>Categories</vt:lpstr>
      <vt:lpstr>'Household Expense Dashboard'!Print_Area</vt:lpstr>
      <vt:lpstr>Budget!Subcategories</vt:lpstr>
      <vt:lpstr>'Household Expense Dashboard'!Subcategories</vt:lpstr>
      <vt:lpstr>Subcategories</vt:lpstr>
      <vt:lpstr>'Household Expense Dashboard'!Total_6_Months_Expense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PATEL</dc:creator>
  <cp:lastModifiedBy>SHILPA PATEL</cp:lastModifiedBy>
  <cp:lastPrinted>2026-09-14T22:12:58Z</cp:lastPrinted>
  <dcterms:created xsi:type="dcterms:W3CDTF">2026-02-13T01:36:23Z</dcterms:created>
  <dcterms:modified xsi:type="dcterms:W3CDTF">2026-09-20T03:38:39Z</dcterms:modified>
</cp:coreProperties>
</file>